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6945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8" i="1" l="1"/>
  <c r="F79" i="1"/>
  <c r="F80" i="1"/>
  <c r="F82" i="1"/>
  <c r="G53" i="1" l="1"/>
  <c r="M4" i="1" l="1"/>
  <c r="I5" i="1"/>
  <c r="L4" i="1"/>
  <c r="K4" i="1"/>
  <c r="J4" i="1"/>
  <c r="I4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54" i="1"/>
</calcChain>
</file>

<file path=xl/sharedStrings.xml><?xml version="1.0" encoding="utf-8"?>
<sst xmlns="http://schemas.openxmlformats.org/spreadsheetml/2006/main" count="272" uniqueCount="186">
  <si>
    <t>Sr No</t>
  </si>
  <si>
    <t>Name of Student</t>
  </si>
  <si>
    <t>AHIRE BHUPENDRA GHANSHYAM</t>
  </si>
  <si>
    <t>AHIRRAO HARSHAL ASHOK</t>
  </si>
  <si>
    <t>BAVASKAR JAYESH RAJENDRA</t>
  </si>
  <si>
    <t>BAVISKAR SHRUTI PRAVIN</t>
  </si>
  <si>
    <t>BELDAR SAHIL KHAN  AMIN KHAN</t>
  </si>
  <si>
    <t>BILADE DHANANJAY RAVINDRA</t>
  </si>
  <si>
    <t>BORASE ABHIJIT YUVARAJ</t>
  </si>
  <si>
    <t>BORASE HEMANT CHANDRASHEKHAR</t>
  </si>
  <si>
    <t>BORSE GANESH DNYANESHWAR</t>
  </si>
  <si>
    <t>CHAUDHARI AKANKSHA KISHOR</t>
  </si>
  <si>
    <t>CHAUDHARI HARSHADA DEEPAK</t>
  </si>
  <si>
    <t>CHAUDHARI HARSHAL KAILAS</t>
  </si>
  <si>
    <t>CHAUDHARI PRANJAL JAGDISH</t>
  </si>
  <si>
    <t>CHAUDHARI SHUBHAM KISHOR</t>
  </si>
  <si>
    <t>CHAVAN KUNAL NILKANTH</t>
  </si>
  <si>
    <t>CHAVAN ROHAN KANTILAL</t>
  </si>
  <si>
    <t>CHITTE SAKSHI VINOD</t>
  </si>
  <si>
    <t>DABHADE PRATIKSHA MARTAND</t>
  </si>
  <si>
    <t>DHOBI SAHIL SHAIKH AARIF</t>
  </si>
  <si>
    <t>DHOBI SHAIKH NAVEED SHAIKH MAHEMOOD</t>
  </si>
  <si>
    <t>DODE YOGESH RAJESH</t>
  </si>
  <si>
    <t>GAWARE VISHAL BALU</t>
  </si>
  <si>
    <t>GIRASE JAYESH KOMALSING</t>
  </si>
  <si>
    <t>GIRASE TANMAYI KIRANSING</t>
  </si>
  <si>
    <t>GURAV RADHIKA DHIRAJ</t>
  </si>
  <si>
    <t>JAGADALE JAYESH DNYANESHWAR</t>
  </si>
  <si>
    <t>JAMADAR NIKITA JITENDRA</t>
  </si>
  <si>
    <t>JOSHI AADITYA VASANT</t>
  </si>
  <si>
    <t>JOSHI ATHARVA VASANT</t>
  </si>
  <si>
    <t>KHAIRNAR HARSHAL PRAMOD</t>
  </si>
  <si>
    <t>KHAIRNAR KETAN EKNATH</t>
  </si>
  <si>
    <t>KOLI SANDHYA DEEPAK</t>
  </si>
  <si>
    <t>MAIN ABHISHEK SANJAY</t>
  </si>
  <si>
    <t>NERKAR PRERANA HEMARAJ</t>
  </si>
  <si>
    <t>PATIL ARPITA SAMBHAJI</t>
  </si>
  <si>
    <t>PATIL BHUSHAN RAVINDRA</t>
  </si>
  <si>
    <t>PATIL BHUSHAN SHANTARAM</t>
  </si>
  <si>
    <t>PATIL CHETAN PANDURANG</t>
  </si>
  <si>
    <t>PATIL DINESH BANSILAL</t>
  </si>
  <si>
    <t>PATIL DINESH VISHWAS</t>
  </si>
  <si>
    <t>PATIL DIPALI GAJENDRA</t>
  </si>
  <si>
    <t>PATIL DIVESH MADHUKAR</t>
  </si>
  <si>
    <t>PATIL HARSHAL VIKAS</t>
  </si>
  <si>
    <t>PATIL JAYESH RAVINDRA</t>
  </si>
  <si>
    <t>PATIL KUNAL RAVINDRA</t>
  </si>
  <si>
    <t>PATIL LALIT PRUTHVIRAJ</t>
  </si>
  <si>
    <t>PATIL MAYUR PRALHAD</t>
  </si>
  <si>
    <t>PATIL MAYUR YOGRAJ</t>
  </si>
  <si>
    <t>PATIL MAYURI SAMADHAN</t>
  </si>
  <si>
    <t>PATIL MAYURKUMAR SANJAY</t>
  </si>
  <si>
    <t>PATIL NILESH VISHWAS</t>
  </si>
  <si>
    <t>PATIL PRAVIN DNYANESHWAR</t>
  </si>
  <si>
    <t>PATIL PUSHPANJALI MANOHAR</t>
  </si>
  <si>
    <t>PATIL RAJ VIKAS</t>
  </si>
  <si>
    <t>PATIL RITESH CHUDAMAN</t>
  </si>
  <si>
    <t>PATIL SANIKA DAIVAT</t>
  </si>
  <si>
    <t>PATIL SIDDHARTH JIJABRAO</t>
  </si>
  <si>
    <t>PATIL VIPUL PRAKASH</t>
  </si>
  <si>
    <t>PATIL VIRENDRA RATILAL</t>
  </si>
  <si>
    <t>PATIL VIVEKANAND SANTOSH</t>
  </si>
  <si>
    <t>PATIL YASH RANGRAO</t>
  </si>
  <si>
    <t>PAWAR HARSHAL SHARAD</t>
  </si>
  <si>
    <t>PAWAR VIJAY MADHUKAR</t>
  </si>
  <si>
    <t>RAJPUT YOGESH RAMSAGUN</t>
  </si>
  <si>
    <t>SAINDANE NEHA SATISH</t>
  </si>
  <si>
    <t>SHENDE SATYAM PRASHANT</t>
  </si>
  <si>
    <t>SONAWANE CHETAN RAJENDRA</t>
  </si>
  <si>
    <t>SONAWANE NIKHIL PRADIP</t>
  </si>
  <si>
    <t>SURYAWANSHI KARTIK KISHOR</t>
  </si>
  <si>
    <t>THAKARE ROHIT NANDU</t>
  </si>
  <si>
    <t>TORAWANE GAURAV RAVINDRA</t>
  </si>
  <si>
    <t>WAGH SAKSHI RAKESH</t>
  </si>
  <si>
    <t>YEOLE NITIN SHRAVAN</t>
  </si>
  <si>
    <t>CGPA</t>
  </si>
  <si>
    <t>SGPA</t>
  </si>
  <si>
    <t>Total</t>
  </si>
  <si>
    <t>Result</t>
  </si>
  <si>
    <t>ATKT</t>
  </si>
  <si>
    <t>5.86  /7.14 </t>
  </si>
  <si>
    <t xml:space="preserve">6.00 /4.71 </t>
  </si>
  <si>
    <t xml:space="preserve">7.71 /9.00 </t>
  </si>
  <si>
    <t>Pass</t>
  </si>
  <si>
    <t xml:space="preserve">5.43 /7.86 </t>
  </si>
  <si>
    <t xml:space="preserve">9.14 /9.71 </t>
  </si>
  <si>
    <t xml:space="preserve">9.29 /9.14 </t>
  </si>
  <si>
    <t xml:space="preserve">8.57 /9.14 </t>
  </si>
  <si>
    <t xml:space="preserve">9.00 /9.57 </t>
  </si>
  <si>
    <t xml:space="preserve">8.57 / 8.86 </t>
  </si>
  <si>
    <t xml:space="preserve">7.43 /6.86 </t>
  </si>
  <si>
    <t xml:space="preserve">8.14 /7.29 </t>
  </si>
  <si>
    <t xml:space="preserve">6.43 /6.71 </t>
  </si>
  <si>
    <t xml:space="preserve">6.29 /5.00 </t>
  </si>
  <si>
    <t xml:space="preserve">6.57 /7.57 </t>
  </si>
  <si>
    <t xml:space="preserve">9.43 /9.14 </t>
  </si>
  <si>
    <t>9.86 </t>
  </si>
  <si>
    <t xml:space="preserve">9.71 /9.86 </t>
  </si>
  <si>
    <t xml:space="preserve">9.14 /9.43 </t>
  </si>
  <si>
    <t xml:space="preserve">8.86 /9.43 </t>
  </si>
  <si>
    <t xml:space="preserve">9.57 /9.86 </t>
  </si>
  <si>
    <t xml:space="preserve">9.14 /7.86 </t>
  </si>
  <si>
    <t xml:space="preserve">9.71 /9.43 </t>
  </si>
  <si>
    <t xml:space="preserve">9.00 /9.43 </t>
  </si>
  <si>
    <t>9.43 </t>
  </si>
  <si>
    <t xml:space="preserve">8.29 /9.43 </t>
  </si>
  <si>
    <t xml:space="preserve">7.43 / 6.29 </t>
  </si>
  <si>
    <t xml:space="preserve">8.43 /9.00 </t>
  </si>
  <si>
    <t>8.57/8.86</t>
  </si>
  <si>
    <t>6.00/8.00</t>
  </si>
  <si>
    <t>5.86/6.71</t>
  </si>
  <si>
    <t xml:space="preserve">8.57 /9.00 </t>
  </si>
  <si>
    <t xml:space="preserve">8.14 /6.86 </t>
  </si>
  <si>
    <t>9.00/9.29</t>
  </si>
  <si>
    <t>9.29/9.57</t>
  </si>
  <si>
    <t>8.00/7.43</t>
  </si>
  <si>
    <t>8.71/9.40</t>
  </si>
  <si>
    <t>7.00/6.71</t>
  </si>
  <si>
    <t>6.57/6.00</t>
  </si>
  <si>
    <t>8.43/7.71</t>
  </si>
  <si>
    <t>9.00/7.71</t>
  </si>
  <si>
    <t>6.00/7.43</t>
  </si>
  <si>
    <t>8.86/9.29</t>
  </si>
  <si>
    <t>5.00/6.40</t>
  </si>
  <si>
    <t>4.43/7.00</t>
  </si>
  <si>
    <t>8.00/8.61</t>
  </si>
  <si>
    <t>9.14/8.14</t>
  </si>
  <si>
    <t>4.00/7.00</t>
  </si>
  <si>
    <t>7.43/8.29</t>
  </si>
  <si>
    <t>9.00/9.00</t>
  </si>
  <si>
    <t>8.14/6.43</t>
  </si>
  <si>
    <t>8.43/1.00</t>
  </si>
  <si>
    <t>Fail</t>
  </si>
  <si>
    <t>7.71/9.29</t>
  </si>
  <si>
    <t>8.71/9.57</t>
  </si>
  <si>
    <t>9.86/10</t>
  </si>
  <si>
    <t>7.00/8.71</t>
  </si>
  <si>
    <t>7.29/7.29</t>
  </si>
  <si>
    <t>8.29/8.71</t>
  </si>
  <si>
    <t>8.00/8.00</t>
  </si>
  <si>
    <t>8.43/8.29</t>
  </si>
  <si>
    <t>8.71/8.86</t>
  </si>
  <si>
    <t>7.57/8.57</t>
  </si>
  <si>
    <t>8.71/7.29</t>
  </si>
  <si>
    <t>8.86/9.00</t>
  </si>
  <si>
    <t>9.29/9.29</t>
  </si>
  <si>
    <t>7.71/8.86</t>
  </si>
  <si>
    <t>9.29/9.00</t>
  </si>
  <si>
    <t>5.86/5.86</t>
  </si>
  <si>
    <t>8.29/8.29</t>
  </si>
  <si>
    <t>8.57/8.29</t>
  </si>
  <si>
    <t>9.71/9.57</t>
  </si>
  <si>
    <t>9.71/9.86</t>
  </si>
  <si>
    <t>BCA III</t>
  </si>
  <si>
    <t>BBA III</t>
  </si>
  <si>
    <t>BCA II</t>
  </si>
  <si>
    <t>priti prakash wagh</t>
  </si>
  <si>
    <t>Pratik Dipak Patil</t>
  </si>
  <si>
    <t>Nikita Chandrakant Ahirrao</t>
  </si>
  <si>
    <t>Patave Shekh Shahid Shekh ayub</t>
  </si>
  <si>
    <t>Sonar Himanshu Anil</t>
  </si>
  <si>
    <t>Chaudhari Swapnil Anil</t>
  </si>
  <si>
    <t>Jadhava Chandkrant Sanjay</t>
  </si>
  <si>
    <t>Doshi Saurav Vinay</t>
  </si>
  <si>
    <t>Shirode Aditya Narandra</t>
  </si>
  <si>
    <t>MMS II</t>
  </si>
  <si>
    <t xml:space="preserve">6.43  /8.29 </t>
  </si>
  <si>
    <t>per</t>
  </si>
  <si>
    <t>9.43(CGPA)</t>
  </si>
  <si>
    <t>9.29(CGPA)</t>
  </si>
  <si>
    <t>8.75(CGPA)</t>
  </si>
  <si>
    <t>9.62(CGPA)</t>
  </si>
  <si>
    <t>9.48(CGPA)</t>
  </si>
  <si>
    <t>8.85(CGPA)</t>
  </si>
  <si>
    <t>8.56(CGPA)</t>
  </si>
  <si>
    <t>Blank</t>
  </si>
  <si>
    <t>Nitin</t>
  </si>
  <si>
    <t>Sakshi W.</t>
  </si>
  <si>
    <t>Vishal G.</t>
  </si>
  <si>
    <t>Sakshi C.</t>
  </si>
  <si>
    <t>Pratiksha</t>
  </si>
  <si>
    <t>8.14/8.43</t>
  </si>
  <si>
    <t>PATIL CHETAN DNYANESHWAR(MANISHA)</t>
  </si>
  <si>
    <t>PATIL CHETAN DNYANESHWAR(VANDANA)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</si>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</sst>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9"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76" totalsRowShown="0" headerRowDxfId="6" dataDxfId="5">
  <autoFilter ref="A1:G76"/>
  <sortState ref="A39:G40">
    <sortCondition ref="B1:B76"/>
  </sortState>
  <tableColumns count="7">
    <tableColumn id="1" name="Sr No" dataDxfId="4"/>
    <tableColumn id="2" name="Name of Student" dataDxfId="3"/>
    <tableColumn id="3" name="CGPA" dataDxfId="8"/>
    <tableColumn id="4" name="SGPA" dataDxfId="7"/>
    <tableColumn id="5" name="Total" dataDxfId="2"/>
    <tableColumn id="6" name="Result" dataDxfId="1"/>
    <tableColumn id="7" name="per" dataDxfId="0">
      <calculatedColumnFormula>E2/2800*100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abSelected="1" zoomScale="98" zoomScaleNormal="98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2.28515625" style="5" bestFit="1" customWidth="1"/>
    <col min="2" max="2" width="43.5703125" style="5" bestFit="1" customWidth="1"/>
    <col min="3" max="3" width="12.7109375" style="17" bestFit="1" customWidth="1"/>
    <col min="4" max="4" width="18.28515625" style="20" bestFit="1" customWidth="1"/>
    <col min="5" max="5" width="11.5703125" style="5" bestFit="1" customWidth="1"/>
    <col min="6" max="6" width="13.140625" style="5" bestFit="1" customWidth="1"/>
    <col min="7" max="7" width="17.7109375" style="5" bestFit="1" customWidth="1"/>
    <col min="8" max="16384" width="9.140625" style="5"/>
  </cols>
  <sheetData>
    <row r="1" spans="1:13" ht="15.75" x14ac:dyDescent="0.25">
      <c r="A1" s="6" t="s">
        <v>0</v>
      </c>
      <c r="B1" s="6" t="s">
        <v>1</v>
      </c>
      <c r="C1" s="15" t="s">
        <v>75</v>
      </c>
      <c r="D1" s="18" t="s">
        <v>76</v>
      </c>
      <c r="E1" s="7" t="s">
        <v>77</v>
      </c>
      <c r="F1" s="7" t="s">
        <v>78</v>
      </c>
      <c r="G1" s="8" t="s">
        <v>167</v>
      </c>
    </row>
    <row r="2" spans="1:13" x14ac:dyDescent="0.25">
      <c r="A2" s="9">
        <v>1</v>
      </c>
      <c r="B2" s="13" t="s">
        <v>2</v>
      </c>
      <c r="C2" s="16">
        <v>6.46</v>
      </c>
      <c r="D2" s="19" t="s">
        <v>80</v>
      </c>
      <c r="E2" s="10">
        <v>1699</v>
      </c>
      <c r="F2" s="10" t="s">
        <v>79</v>
      </c>
      <c r="G2" s="12">
        <f>E2/2800*100</f>
        <v>60.678571428571423</v>
      </c>
    </row>
    <row r="3" spans="1:13" x14ac:dyDescent="0.25">
      <c r="A3" s="9">
        <v>2</v>
      </c>
      <c r="B3" s="13" t="s">
        <v>3</v>
      </c>
      <c r="C3" s="16">
        <v>7.54</v>
      </c>
      <c r="D3" s="19" t="s">
        <v>166</v>
      </c>
      <c r="E3" s="10">
        <v>1794</v>
      </c>
      <c r="F3" s="10" t="s">
        <v>79</v>
      </c>
      <c r="G3" s="12">
        <f>E3/2800*100</f>
        <v>64.071428571428569</v>
      </c>
      <c r="I3" s="5" t="s">
        <v>176</v>
      </c>
      <c r="J3" s="5" t="s">
        <v>177</v>
      </c>
      <c r="K3" s="5" t="s">
        <v>178</v>
      </c>
      <c r="L3" s="5" t="s">
        <v>179</v>
      </c>
      <c r="M3" s="5" t="s">
        <v>180</v>
      </c>
    </row>
    <row r="4" spans="1:13" x14ac:dyDescent="0.25">
      <c r="A4" s="9">
        <v>3</v>
      </c>
      <c r="B4" s="13" t="s">
        <v>4</v>
      </c>
      <c r="C4" s="16">
        <v>6.75</v>
      </c>
      <c r="D4" s="19" t="s">
        <v>81</v>
      </c>
      <c r="E4" s="10">
        <v>1768</v>
      </c>
      <c r="F4" s="11" t="s">
        <v>79</v>
      </c>
      <c r="G4" s="12">
        <f>E4/2800*100</f>
        <v>63.142857142857146</v>
      </c>
      <c r="I4" s="5">
        <f>2503-2487</f>
        <v>16</v>
      </c>
      <c r="J4" s="5">
        <f>E2-Table1[[#This Row],[Total]]</f>
        <v>-69</v>
      </c>
      <c r="K4" s="5">
        <f>E2-E5</f>
        <v>-283</v>
      </c>
      <c r="L4" s="5">
        <f>E2-E6</f>
        <v>-53</v>
      </c>
      <c r="M4" s="5">
        <f>E2-E7</f>
        <v>-563</v>
      </c>
    </row>
    <row r="5" spans="1:13" x14ac:dyDescent="0.25">
      <c r="A5" s="9">
        <v>4</v>
      </c>
      <c r="B5" s="13" t="s">
        <v>5</v>
      </c>
      <c r="C5" s="16">
        <v>8.4600000000000009</v>
      </c>
      <c r="D5" s="19" t="s">
        <v>82</v>
      </c>
      <c r="E5" s="10">
        <v>1982</v>
      </c>
      <c r="F5" s="11" t="s">
        <v>185</v>
      </c>
      <c r="G5" s="12">
        <f>E5/2800*100</f>
        <v>70.785714285714292</v>
      </c>
      <c r="I5" s="5">
        <f>E3-E4</f>
        <v>26</v>
      </c>
    </row>
    <row r="6" spans="1:13" x14ac:dyDescent="0.25">
      <c r="A6" s="9">
        <v>5</v>
      </c>
      <c r="B6" s="13" t="s">
        <v>6</v>
      </c>
      <c r="C6" s="16">
        <v>7.04</v>
      </c>
      <c r="D6" s="19" t="s">
        <v>84</v>
      </c>
      <c r="E6" s="10">
        <v>1752</v>
      </c>
      <c r="F6" s="11" t="s">
        <v>79</v>
      </c>
      <c r="G6" s="12">
        <f>E6/2800*100</f>
        <v>62.571428571428569</v>
      </c>
    </row>
    <row r="7" spans="1:13" x14ac:dyDescent="0.25">
      <c r="A7" s="9">
        <v>6</v>
      </c>
      <c r="B7" s="13" t="s">
        <v>7</v>
      </c>
      <c r="C7" s="16">
        <v>9.32</v>
      </c>
      <c r="D7" s="19" t="s">
        <v>85</v>
      </c>
      <c r="E7" s="10">
        <v>2262</v>
      </c>
      <c r="F7" s="11" t="s">
        <v>185</v>
      </c>
      <c r="G7" s="12">
        <f>E7/2800*100</f>
        <v>80.785714285714278</v>
      </c>
    </row>
    <row r="8" spans="1:13" x14ac:dyDescent="0.25">
      <c r="A8" s="9">
        <v>7</v>
      </c>
      <c r="B8" s="13" t="s">
        <v>8</v>
      </c>
      <c r="C8" s="16">
        <v>9.14</v>
      </c>
      <c r="D8" s="19" t="s">
        <v>86</v>
      </c>
      <c r="E8" s="10">
        <v>2238</v>
      </c>
      <c r="F8" s="11" t="s">
        <v>185</v>
      </c>
      <c r="G8" s="12">
        <f>E8/2800*100</f>
        <v>79.928571428571431</v>
      </c>
    </row>
    <row r="9" spans="1:13" x14ac:dyDescent="0.25">
      <c r="A9" s="9">
        <v>8</v>
      </c>
      <c r="B9" s="13" t="s">
        <v>9</v>
      </c>
      <c r="C9" s="16">
        <v>9.18</v>
      </c>
      <c r="D9" s="19" t="s">
        <v>87</v>
      </c>
      <c r="E9" s="10">
        <v>2181</v>
      </c>
      <c r="F9" s="11" t="s">
        <v>185</v>
      </c>
      <c r="G9" s="12">
        <f>E9/2800*100</f>
        <v>77.892857142857139</v>
      </c>
    </row>
    <row r="10" spans="1:13" x14ac:dyDescent="0.25">
      <c r="A10" s="9">
        <v>9</v>
      </c>
      <c r="B10" s="13" t="s">
        <v>10</v>
      </c>
      <c r="C10" s="16">
        <v>9.14</v>
      </c>
      <c r="D10" s="19" t="s">
        <v>88</v>
      </c>
      <c r="E10" s="10">
        <v>2173</v>
      </c>
      <c r="F10" s="11" t="s">
        <v>185</v>
      </c>
      <c r="G10" s="12">
        <f>E10/2800*100</f>
        <v>77.607142857142847</v>
      </c>
    </row>
    <row r="11" spans="1:13" x14ac:dyDescent="0.25">
      <c r="A11" s="9">
        <v>10</v>
      </c>
      <c r="B11" s="13" t="s">
        <v>11</v>
      </c>
      <c r="C11" s="16">
        <v>8.7899999999999991</v>
      </c>
      <c r="D11" s="19" t="s">
        <v>89</v>
      </c>
      <c r="E11" s="10">
        <v>2036</v>
      </c>
      <c r="F11" s="11" t="s">
        <v>185</v>
      </c>
      <c r="G11" s="12">
        <f>E11/2800*100</f>
        <v>72.714285714285708</v>
      </c>
    </row>
    <row r="12" spans="1:13" x14ac:dyDescent="0.25">
      <c r="A12" s="9">
        <v>11</v>
      </c>
      <c r="B12" s="13" t="s">
        <v>12</v>
      </c>
      <c r="C12" s="16">
        <v>7.14</v>
      </c>
      <c r="D12" s="19" t="s">
        <v>90</v>
      </c>
      <c r="E12" s="10">
        <v>1884</v>
      </c>
      <c r="F12" s="10" t="s">
        <v>79</v>
      </c>
      <c r="G12" s="12">
        <f>E12/2800*100</f>
        <v>67.285714285714278</v>
      </c>
    </row>
    <row r="13" spans="1:13" x14ac:dyDescent="0.25">
      <c r="A13" s="9">
        <v>12</v>
      </c>
      <c r="B13" s="13" t="s">
        <v>13</v>
      </c>
      <c r="C13" s="16">
        <v>7.96</v>
      </c>
      <c r="D13" s="19" t="s">
        <v>91</v>
      </c>
      <c r="E13" s="10">
        <v>1895</v>
      </c>
      <c r="F13" s="10" t="s">
        <v>79</v>
      </c>
      <c r="G13" s="12">
        <f>E13/2800*100</f>
        <v>67.678571428571431</v>
      </c>
    </row>
    <row r="14" spans="1:13" x14ac:dyDescent="0.25">
      <c r="A14" s="9">
        <v>13</v>
      </c>
      <c r="B14" s="13" t="s">
        <v>14</v>
      </c>
      <c r="C14" s="16">
        <v>6.89</v>
      </c>
      <c r="D14" s="19" t="s">
        <v>92</v>
      </c>
      <c r="E14" s="10">
        <v>1795</v>
      </c>
      <c r="F14" s="10" t="s">
        <v>79</v>
      </c>
      <c r="G14" s="12">
        <f>E14/2800*100</f>
        <v>64.107142857142861</v>
      </c>
    </row>
    <row r="15" spans="1:13" x14ac:dyDescent="0.25">
      <c r="A15" s="9">
        <v>14</v>
      </c>
      <c r="B15" s="13" t="s">
        <v>15</v>
      </c>
      <c r="C15" s="16">
        <v>6.5</v>
      </c>
      <c r="D15" s="19" t="s">
        <v>93</v>
      </c>
      <c r="E15" s="10">
        <v>1727</v>
      </c>
      <c r="F15" s="10" t="s">
        <v>79</v>
      </c>
      <c r="G15" s="12">
        <f>E15/2800*100</f>
        <v>61.678571428571431</v>
      </c>
    </row>
    <row r="16" spans="1:13" x14ac:dyDescent="0.25">
      <c r="A16" s="9">
        <v>15</v>
      </c>
      <c r="B16" s="13" t="s">
        <v>16</v>
      </c>
      <c r="C16" s="16">
        <v>7.75</v>
      </c>
      <c r="D16" s="19" t="s">
        <v>94</v>
      </c>
      <c r="E16" s="10">
        <v>1885</v>
      </c>
      <c r="F16" s="10" t="s">
        <v>79</v>
      </c>
      <c r="G16" s="12">
        <f>E16/2800*100</f>
        <v>67.321428571428584</v>
      </c>
    </row>
    <row r="17" spans="1:7" x14ac:dyDescent="0.25">
      <c r="A17" s="9">
        <v>16</v>
      </c>
      <c r="B17" s="13" t="s">
        <v>17</v>
      </c>
      <c r="C17" s="16">
        <v>9.18</v>
      </c>
      <c r="D17" s="19" t="s">
        <v>95</v>
      </c>
      <c r="E17" s="10">
        <v>2187</v>
      </c>
      <c r="F17" s="11" t="s">
        <v>185</v>
      </c>
      <c r="G17" s="12">
        <f>E17/2800*100</f>
        <v>78.107142857142847</v>
      </c>
    </row>
    <row r="18" spans="1:7" x14ac:dyDescent="0.25">
      <c r="A18" s="9">
        <v>17</v>
      </c>
      <c r="B18" s="13" t="s">
        <v>18</v>
      </c>
      <c r="C18" s="16" t="s">
        <v>96</v>
      </c>
      <c r="D18" s="19" t="s">
        <v>97</v>
      </c>
      <c r="E18" s="10">
        <v>2416</v>
      </c>
      <c r="F18" s="11" t="s">
        <v>185</v>
      </c>
      <c r="G18" s="12">
        <f>E18/2800*100</f>
        <v>86.285714285714292</v>
      </c>
    </row>
    <row r="19" spans="1:7" x14ac:dyDescent="0.25">
      <c r="A19" s="9">
        <v>18</v>
      </c>
      <c r="B19" s="13" t="s">
        <v>19</v>
      </c>
      <c r="C19" s="16">
        <v>9.32</v>
      </c>
      <c r="D19" s="19" t="s">
        <v>98</v>
      </c>
      <c r="E19" s="10">
        <v>2311</v>
      </c>
      <c r="F19" s="11" t="s">
        <v>185</v>
      </c>
      <c r="G19" s="12">
        <f>E19/2800*100</f>
        <v>82.535714285714292</v>
      </c>
    </row>
    <row r="20" spans="1:7" x14ac:dyDescent="0.25">
      <c r="A20" s="9">
        <v>19</v>
      </c>
      <c r="B20" s="13" t="s">
        <v>20</v>
      </c>
      <c r="C20" s="16">
        <v>8.86</v>
      </c>
      <c r="D20" s="19" t="s">
        <v>99</v>
      </c>
      <c r="E20" s="10">
        <v>2139</v>
      </c>
      <c r="F20" s="11" t="s">
        <v>185</v>
      </c>
      <c r="G20" s="12">
        <f>E20/2800*100</f>
        <v>76.392857142857139</v>
      </c>
    </row>
    <row r="21" spans="1:7" x14ac:dyDescent="0.25">
      <c r="A21" s="9">
        <v>20</v>
      </c>
      <c r="B21" s="13" t="s">
        <v>21</v>
      </c>
      <c r="C21" s="16">
        <v>9.2899999999999991</v>
      </c>
      <c r="D21" s="19" t="s">
        <v>100</v>
      </c>
      <c r="E21" s="10">
        <v>2220</v>
      </c>
      <c r="F21" s="11" t="s">
        <v>185</v>
      </c>
      <c r="G21" s="12">
        <f>E21/2800*100</f>
        <v>79.285714285714278</v>
      </c>
    </row>
    <row r="22" spans="1:7" x14ac:dyDescent="0.25">
      <c r="A22" s="9">
        <v>21</v>
      </c>
      <c r="B22" s="13" t="s">
        <v>22</v>
      </c>
      <c r="C22" s="16">
        <v>8.82</v>
      </c>
      <c r="D22" s="19" t="s">
        <v>101</v>
      </c>
      <c r="E22" s="10">
        <v>2099</v>
      </c>
      <c r="F22" s="10" t="s">
        <v>79</v>
      </c>
      <c r="G22" s="12">
        <f>E22/2800*100</f>
        <v>74.964285714285722</v>
      </c>
    </row>
    <row r="23" spans="1:7" x14ac:dyDescent="0.25">
      <c r="A23" s="9">
        <v>22</v>
      </c>
      <c r="B23" s="13" t="s">
        <v>23</v>
      </c>
      <c r="C23" s="16">
        <v>9.68</v>
      </c>
      <c r="D23" s="19" t="s">
        <v>102</v>
      </c>
      <c r="E23" s="10">
        <v>2423</v>
      </c>
      <c r="F23" s="11" t="s">
        <v>185</v>
      </c>
      <c r="G23" s="12">
        <f>E23/2800*100</f>
        <v>86.535714285714278</v>
      </c>
    </row>
    <row r="24" spans="1:7" x14ac:dyDescent="0.25">
      <c r="A24" s="9">
        <v>23</v>
      </c>
      <c r="B24" s="13" t="s">
        <v>24</v>
      </c>
      <c r="C24" s="16">
        <v>9.07</v>
      </c>
      <c r="D24" s="19" t="s">
        <v>103</v>
      </c>
      <c r="E24" s="10">
        <v>2190</v>
      </c>
      <c r="F24" s="11" t="s">
        <v>185</v>
      </c>
      <c r="G24" s="12">
        <f>E24/2800*100</f>
        <v>78.214285714285708</v>
      </c>
    </row>
    <row r="25" spans="1:7" x14ac:dyDescent="0.25">
      <c r="A25" s="9">
        <v>24</v>
      </c>
      <c r="B25" s="13" t="s">
        <v>25</v>
      </c>
      <c r="C25" s="16" t="s">
        <v>104</v>
      </c>
      <c r="D25" s="19" t="s">
        <v>105</v>
      </c>
      <c r="E25" s="10">
        <v>2043</v>
      </c>
      <c r="F25" s="11" t="s">
        <v>185</v>
      </c>
      <c r="G25" s="12">
        <f>E25/2800*100</f>
        <v>72.964285714285708</v>
      </c>
    </row>
    <row r="26" spans="1:7" x14ac:dyDescent="0.25">
      <c r="A26" s="9">
        <v>25</v>
      </c>
      <c r="B26" s="13" t="s">
        <v>26</v>
      </c>
      <c r="C26" s="16">
        <v>6.96</v>
      </c>
      <c r="D26" s="19" t="s">
        <v>106</v>
      </c>
      <c r="E26" s="10">
        <v>1846</v>
      </c>
      <c r="F26" s="10" t="s">
        <v>79</v>
      </c>
      <c r="G26" s="12">
        <f>E26/2800*100</f>
        <v>65.928571428571431</v>
      </c>
    </row>
    <row r="27" spans="1:7" x14ac:dyDescent="0.25">
      <c r="A27" s="9">
        <v>26</v>
      </c>
      <c r="B27" s="13" t="s">
        <v>27</v>
      </c>
      <c r="C27" s="16">
        <v>8.2899999999999991</v>
      </c>
      <c r="D27" s="19" t="s">
        <v>107</v>
      </c>
      <c r="E27" s="10">
        <v>1924</v>
      </c>
      <c r="F27" s="11" t="s">
        <v>185</v>
      </c>
      <c r="G27" s="12">
        <f>E27/2800*100</f>
        <v>68.714285714285722</v>
      </c>
    </row>
    <row r="28" spans="1:7" x14ac:dyDescent="0.25">
      <c r="A28" s="9">
        <v>27</v>
      </c>
      <c r="B28" s="13" t="s">
        <v>28</v>
      </c>
      <c r="C28" s="16">
        <v>8.5399999999999991</v>
      </c>
      <c r="D28" s="19" t="s">
        <v>108</v>
      </c>
      <c r="E28" s="10">
        <v>2007</v>
      </c>
      <c r="F28" s="11" t="s">
        <v>185</v>
      </c>
      <c r="G28" s="12">
        <f>E28/2800*100</f>
        <v>71.678571428571431</v>
      </c>
    </row>
    <row r="29" spans="1:7" x14ac:dyDescent="0.25">
      <c r="A29" s="9">
        <v>28</v>
      </c>
      <c r="B29" s="13" t="s">
        <v>29</v>
      </c>
      <c r="C29" s="16">
        <v>7.64</v>
      </c>
      <c r="D29" s="19" t="s">
        <v>109</v>
      </c>
      <c r="E29" s="10">
        <v>1859</v>
      </c>
      <c r="F29" s="10" t="s">
        <v>79</v>
      </c>
      <c r="G29" s="12">
        <f>E29/2800*100</f>
        <v>66.392857142857139</v>
      </c>
    </row>
    <row r="30" spans="1:7" x14ac:dyDescent="0.25">
      <c r="A30" s="9">
        <v>29</v>
      </c>
      <c r="B30" s="13" t="s">
        <v>30</v>
      </c>
      <c r="C30" s="16">
        <v>6.93</v>
      </c>
      <c r="D30" s="19" t="s">
        <v>110</v>
      </c>
      <c r="E30" s="10">
        <v>1782</v>
      </c>
      <c r="F30" s="10" t="s">
        <v>79</v>
      </c>
      <c r="G30" s="12">
        <f>E30/2800*100</f>
        <v>63.642857142857146</v>
      </c>
    </row>
    <row r="31" spans="1:7" x14ac:dyDescent="0.25">
      <c r="A31" s="9">
        <v>30</v>
      </c>
      <c r="B31" s="13" t="s">
        <v>31</v>
      </c>
      <c r="C31" s="16">
        <v>8.39</v>
      </c>
      <c r="D31" s="19" t="s">
        <v>111</v>
      </c>
      <c r="E31" s="10">
        <v>1949</v>
      </c>
      <c r="F31" s="11" t="s">
        <v>185</v>
      </c>
      <c r="G31" s="12">
        <f>E31/2800*100</f>
        <v>69.607142857142861</v>
      </c>
    </row>
    <row r="32" spans="1:7" x14ac:dyDescent="0.25">
      <c r="A32" s="9">
        <v>31</v>
      </c>
      <c r="B32" s="13" t="s">
        <v>32</v>
      </c>
      <c r="C32" s="16">
        <v>8.14</v>
      </c>
      <c r="D32" s="19" t="s">
        <v>112</v>
      </c>
      <c r="E32" s="10">
        <v>8.14</v>
      </c>
      <c r="F32" s="10" t="s">
        <v>79</v>
      </c>
      <c r="G32" s="12">
        <f>E32/2800*100</f>
        <v>0.2907142857142857</v>
      </c>
    </row>
    <row r="33" spans="1:7" x14ac:dyDescent="0.25">
      <c r="A33" s="9">
        <v>32</v>
      </c>
      <c r="B33" s="13" t="s">
        <v>33</v>
      </c>
      <c r="C33" s="16">
        <v>9</v>
      </c>
      <c r="D33" s="19" t="s">
        <v>113</v>
      </c>
      <c r="E33" s="10">
        <v>2105</v>
      </c>
      <c r="F33" s="11" t="s">
        <v>185</v>
      </c>
      <c r="G33" s="12">
        <f>E33/2800*100</f>
        <v>75.178571428571431</v>
      </c>
    </row>
    <row r="34" spans="1:7" x14ac:dyDescent="0.25">
      <c r="A34" s="9">
        <v>33</v>
      </c>
      <c r="B34" s="13" t="s">
        <v>34</v>
      </c>
      <c r="C34" s="16">
        <v>9.25</v>
      </c>
      <c r="D34" s="19" t="s">
        <v>114</v>
      </c>
      <c r="E34" s="10">
        <v>2220</v>
      </c>
      <c r="F34" s="11" t="s">
        <v>185</v>
      </c>
      <c r="G34" s="12">
        <f>E34/2800*100</f>
        <v>79.285714285714278</v>
      </c>
    </row>
    <row r="35" spans="1:7" x14ac:dyDescent="0.25">
      <c r="A35" s="9">
        <v>34</v>
      </c>
      <c r="B35" s="13" t="s">
        <v>35</v>
      </c>
      <c r="C35" s="16">
        <v>8.4600000000000009</v>
      </c>
      <c r="D35" s="19" t="s">
        <v>115</v>
      </c>
      <c r="E35" s="10">
        <v>2075</v>
      </c>
      <c r="F35" s="10" t="s">
        <v>79</v>
      </c>
      <c r="G35" s="12">
        <f>E35/2800*100</f>
        <v>74.107142857142861</v>
      </c>
    </row>
    <row r="36" spans="1:7" x14ac:dyDescent="0.25">
      <c r="A36" s="9">
        <v>35</v>
      </c>
      <c r="B36" s="13" t="s">
        <v>36</v>
      </c>
      <c r="C36" s="16">
        <v>8.89</v>
      </c>
      <c r="D36" s="19" t="s">
        <v>116</v>
      </c>
      <c r="E36" s="10">
        <v>2051</v>
      </c>
      <c r="F36" s="11" t="s">
        <v>185</v>
      </c>
      <c r="G36" s="12">
        <f>E36/2800*100</f>
        <v>73.25</v>
      </c>
    </row>
    <row r="37" spans="1:7" x14ac:dyDescent="0.25">
      <c r="A37" s="9">
        <v>36</v>
      </c>
      <c r="B37" s="13" t="s">
        <v>37</v>
      </c>
      <c r="C37" s="16">
        <v>7.29</v>
      </c>
      <c r="D37" s="19" t="s">
        <v>117</v>
      </c>
      <c r="E37" s="10">
        <v>1793</v>
      </c>
      <c r="F37" s="10" t="s">
        <v>79</v>
      </c>
      <c r="G37" s="12">
        <f>E37/2800*100</f>
        <v>64.035714285714278</v>
      </c>
    </row>
    <row r="38" spans="1:7" x14ac:dyDescent="0.25">
      <c r="A38" s="9">
        <v>37</v>
      </c>
      <c r="B38" s="13" t="s">
        <v>38</v>
      </c>
      <c r="C38" s="16">
        <v>6.96</v>
      </c>
      <c r="D38" s="19" t="s">
        <v>118</v>
      </c>
      <c r="E38" s="10">
        <v>1721</v>
      </c>
      <c r="F38" s="10" t="s">
        <v>79</v>
      </c>
      <c r="G38" s="12">
        <f>E38/2800*100</f>
        <v>61.464285714285715</v>
      </c>
    </row>
    <row r="39" spans="1:7" x14ac:dyDescent="0.25">
      <c r="A39" s="9">
        <v>38</v>
      </c>
      <c r="B39" s="13" t="s">
        <v>183</v>
      </c>
      <c r="C39" s="16">
        <v>7.82</v>
      </c>
      <c r="D39" s="19" t="s">
        <v>119</v>
      </c>
      <c r="E39" s="10">
        <v>1885</v>
      </c>
      <c r="F39" s="10" t="s">
        <v>79</v>
      </c>
      <c r="G39" s="12">
        <f>E39/2800*100</f>
        <v>67.321428571428584</v>
      </c>
    </row>
    <row r="40" spans="1:7" x14ac:dyDescent="0.25">
      <c r="A40" s="9">
        <v>39</v>
      </c>
      <c r="B40" s="13" t="s">
        <v>182</v>
      </c>
      <c r="C40" s="16">
        <v>8.5</v>
      </c>
      <c r="D40" s="19" t="s">
        <v>120</v>
      </c>
      <c r="E40" s="10">
        <v>1988</v>
      </c>
      <c r="F40" s="10" t="s">
        <v>79</v>
      </c>
      <c r="G40" s="12">
        <f>E40/2800*100</f>
        <v>71</v>
      </c>
    </row>
    <row r="41" spans="1:7" x14ac:dyDescent="0.25">
      <c r="A41" s="9">
        <v>40</v>
      </c>
      <c r="B41" s="13" t="s">
        <v>39</v>
      </c>
      <c r="C41" s="16">
        <v>7</v>
      </c>
      <c r="D41" s="19" t="s">
        <v>121</v>
      </c>
      <c r="E41" s="10">
        <v>1758</v>
      </c>
      <c r="F41" s="10" t="s">
        <v>79</v>
      </c>
      <c r="G41" s="12">
        <f>E41/2800*100</f>
        <v>62.785714285714292</v>
      </c>
    </row>
    <row r="42" spans="1:7" x14ac:dyDescent="0.25">
      <c r="A42" s="9">
        <v>41</v>
      </c>
      <c r="B42" s="13" t="s">
        <v>40</v>
      </c>
      <c r="C42" s="16">
        <v>8.5399999999999991</v>
      </c>
      <c r="D42" s="19" t="s">
        <v>122</v>
      </c>
      <c r="E42" s="10">
        <v>2027</v>
      </c>
      <c r="F42" s="11" t="s">
        <v>185</v>
      </c>
      <c r="G42" s="12">
        <f>E42/2800*100</f>
        <v>72.392857142857153</v>
      </c>
    </row>
    <row r="43" spans="1:7" x14ac:dyDescent="0.25">
      <c r="A43" s="9">
        <v>42</v>
      </c>
      <c r="B43" s="13" t="s">
        <v>41</v>
      </c>
      <c r="C43" s="16">
        <v>6.68</v>
      </c>
      <c r="D43" s="19" t="s">
        <v>123</v>
      </c>
      <c r="E43" s="10">
        <v>1758</v>
      </c>
      <c r="F43" s="10" t="s">
        <v>79</v>
      </c>
      <c r="G43" s="12">
        <f>E43/2800*100</f>
        <v>62.785714285714292</v>
      </c>
    </row>
    <row r="44" spans="1:7" x14ac:dyDescent="0.25">
      <c r="A44" s="9">
        <v>43</v>
      </c>
      <c r="B44" s="13" t="s">
        <v>42</v>
      </c>
      <c r="C44" s="16">
        <v>9.2100000000000009</v>
      </c>
      <c r="D44" s="19" t="s">
        <v>114</v>
      </c>
      <c r="E44" s="10">
        <v>2232</v>
      </c>
      <c r="F44" s="11" t="s">
        <v>185</v>
      </c>
      <c r="G44" s="12">
        <f>E44/2800*100</f>
        <v>79.714285714285722</v>
      </c>
    </row>
    <row r="45" spans="1:7" x14ac:dyDescent="0.25">
      <c r="A45" s="9">
        <v>44</v>
      </c>
      <c r="B45" s="13" t="s">
        <v>43</v>
      </c>
      <c r="C45" s="16">
        <v>6.57</v>
      </c>
      <c r="D45" s="19" t="s">
        <v>124</v>
      </c>
      <c r="E45" s="10">
        <v>1696</v>
      </c>
      <c r="F45" s="10" t="s">
        <v>79</v>
      </c>
      <c r="G45" s="12">
        <f>E45/2800*100</f>
        <v>60.571428571428577</v>
      </c>
    </row>
    <row r="46" spans="1:7" x14ac:dyDescent="0.25">
      <c r="A46" s="9">
        <v>45</v>
      </c>
      <c r="B46" s="13" t="s">
        <v>44</v>
      </c>
      <c r="C46" s="16">
        <v>8.5</v>
      </c>
      <c r="D46" s="19" t="s">
        <v>125</v>
      </c>
      <c r="E46" s="10">
        <v>1991</v>
      </c>
      <c r="F46" s="11" t="s">
        <v>185</v>
      </c>
      <c r="G46" s="12">
        <f>E46/2800*100</f>
        <v>71.107142857142861</v>
      </c>
    </row>
    <row r="47" spans="1:7" x14ac:dyDescent="0.25">
      <c r="A47" s="9">
        <v>46</v>
      </c>
      <c r="B47" s="13" t="s">
        <v>45</v>
      </c>
      <c r="C47" s="16">
        <v>8.93</v>
      </c>
      <c r="D47" s="19" t="s">
        <v>126</v>
      </c>
      <c r="E47" s="10">
        <v>2117</v>
      </c>
      <c r="F47" s="10" t="s">
        <v>79</v>
      </c>
      <c r="G47" s="12">
        <f>E47/2800*100</f>
        <v>75.607142857142861</v>
      </c>
    </row>
    <row r="48" spans="1:7" x14ac:dyDescent="0.25">
      <c r="A48" s="9">
        <v>47</v>
      </c>
      <c r="B48" s="13" t="s">
        <v>46</v>
      </c>
      <c r="C48" s="16">
        <v>6.68</v>
      </c>
      <c r="D48" s="19" t="s">
        <v>127</v>
      </c>
      <c r="E48" s="10">
        <v>1734</v>
      </c>
      <c r="F48" s="10" t="s">
        <v>79</v>
      </c>
      <c r="G48" s="12">
        <f>E48/2800*100</f>
        <v>61.928571428571431</v>
      </c>
    </row>
    <row r="49" spans="1:7" x14ac:dyDescent="0.25">
      <c r="A49" s="9">
        <v>48</v>
      </c>
      <c r="B49" s="13" t="s">
        <v>47</v>
      </c>
      <c r="C49" s="16">
        <v>7.18</v>
      </c>
      <c r="D49" s="19" t="s">
        <v>128</v>
      </c>
      <c r="E49" s="10">
        <v>1768</v>
      </c>
      <c r="F49" s="11" t="s">
        <v>185</v>
      </c>
      <c r="G49" s="12">
        <f>E49/2800*100</f>
        <v>63.142857142857146</v>
      </c>
    </row>
    <row r="50" spans="1:7" x14ac:dyDescent="0.25">
      <c r="A50" s="9">
        <v>49</v>
      </c>
      <c r="B50" s="13" t="s">
        <v>48</v>
      </c>
      <c r="C50" s="16">
        <v>8.9600000000000009</v>
      </c>
      <c r="D50" s="19" t="s">
        <v>129</v>
      </c>
      <c r="E50" s="10">
        <v>2106</v>
      </c>
      <c r="F50" s="11" t="s">
        <v>185</v>
      </c>
      <c r="G50" s="12">
        <f>E50/2800*100</f>
        <v>75.214285714285708</v>
      </c>
    </row>
    <row r="51" spans="1:7" x14ac:dyDescent="0.25">
      <c r="A51" s="9">
        <v>50</v>
      </c>
      <c r="B51" s="13" t="s">
        <v>49</v>
      </c>
      <c r="C51" s="16">
        <v>7.96</v>
      </c>
      <c r="D51" s="19" t="s">
        <v>130</v>
      </c>
      <c r="E51" s="10">
        <v>1982</v>
      </c>
      <c r="F51" s="10" t="s">
        <v>79</v>
      </c>
      <c r="G51" s="12">
        <f>E51/2800*100</f>
        <v>70.785714285714292</v>
      </c>
    </row>
    <row r="52" spans="1:7" x14ac:dyDescent="0.25">
      <c r="A52" s="9">
        <v>51</v>
      </c>
      <c r="B52" s="13" t="s">
        <v>50</v>
      </c>
      <c r="C52" s="16">
        <v>6.71</v>
      </c>
      <c r="D52" s="19" t="s">
        <v>131</v>
      </c>
      <c r="E52" s="10">
        <v>1784</v>
      </c>
      <c r="F52" s="10" t="s">
        <v>184</v>
      </c>
      <c r="G52" s="12">
        <f>E52/2800*100</f>
        <v>63.714285714285715</v>
      </c>
    </row>
    <row r="53" spans="1:7" x14ac:dyDescent="0.25">
      <c r="A53" s="9">
        <v>52</v>
      </c>
      <c r="B53" s="13" t="s">
        <v>51</v>
      </c>
      <c r="C53" s="16">
        <v>7.39</v>
      </c>
      <c r="D53" s="19" t="s">
        <v>181</v>
      </c>
      <c r="E53" s="10">
        <v>1868</v>
      </c>
      <c r="F53" s="10" t="s">
        <v>79</v>
      </c>
      <c r="G53" s="12">
        <f>E53/2800*100</f>
        <v>66.714285714285708</v>
      </c>
    </row>
    <row r="54" spans="1:7" x14ac:dyDescent="0.25">
      <c r="A54" s="9">
        <v>53</v>
      </c>
      <c r="B54" s="13" t="s">
        <v>52</v>
      </c>
      <c r="C54" s="16">
        <v>8.64</v>
      </c>
      <c r="D54" s="19" t="s">
        <v>133</v>
      </c>
      <c r="E54" s="10">
        <v>2075</v>
      </c>
      <c r="F54" s="10" t="s">
        <v>79</v>
      </c>
      <c r="G54" s="12">
        <f>E54/2800*100</f>
        <v>74.107142857142861</v>
      </c>
    </row>
    <row r="55" spans="1:7" x14ac:dyDescent="0.25">
      <c r="A55" s="9">
        <v>54</v>
      </c>
      <c r="B55" s="13" t="s">
        <v>53</v>
      </c>
      <c r="C55" s="16">
        <v>9.11</v>
      </c>
      <c r="D55" s="19" t="s">
        <v>134</v>
      </c>
      <c r="E55" s="10">
        <v>2156</v>
      </c>
      <c r="F55" s="11" t="s">
        <v>185</v>
      </c>
      <c r="G55" s="12">
        <f>E55/2800*100</f>
        <v>77</v>
      </c>
    </row>
    <row r="56" spans="1:7" x14ac:dyDescent="0.25">
      <c r="A56" s="9">
        <v>55</v>
      </c>
      <c r="B56" s="13" t="s">
        <v>54</v>
      </c>
      <c r="C56" s="16">
        <v>9.93</v>
      </c>
      <c r="D56" s="19" t="s">
        <v>135</v>
      </c>
      <c r="E56" s="10">
        <v>2503</v>
      </c>
      <c r="F56" s="11" t="s">
        <v>185</v>
      </c>
      <c r="G56" s="12">
        <f>E56/2800*100</f>
        <v>89.392857142857139</v>
      </c>
    </row>
    <row r="57" spans="1:7" x14ac:dyDescent="0.25">
      <c r="A57" s="9">
        <v>56</v>
      </c>
      <c r="B57" s="13" t="s">
        <v>55</v>
      </c>
      <c r="C57" s="16">
        <v>7.39</v>
      </c>
      <c r="D57" s="19" t="s">
        <v>136</v>
      </c>
      <c r="E57" s="10">
        <v>1842</v>
      </c>
      <c r="F57" s="10" t="s">
        <v>79</v>
      </c>
      <c r="G57" s="12">
        <f>E57/2800*100</f>
        <v>65.785714285714278</v>
      </c>
    </row>
    <row r="58" spans="1:7" x14ac:dyDescent="0.25">
      <c r="A58" s="9">
        <v>57</v>
      </c>
      <c r="B58" s="13" t="s">
        <v>56</v>
      </c>
      <c r="C58" s="16">
        <v>7.61</v>
      </c>
      <c r="D58" s="19" t="s">
        <v>137</v>
      </c>
      <c r="E58" s="10">
        <v>1816</v>
      </c>
      <c r="F58" s="10" t="s">
        <v>79</v>
      </c>
      <c r="G58" s="12">
        <f>E58/2800*100</f>
        <v>64.857142857142861</v>
      </c>
    </row>
    <row r="59" spans="1:7" x14ac:dyDescent="0.25">
      <c r="A59" s="9">
        <v>58</v>
      </c>
      <c r="B59" s="13" t="s">
        <v>57</v>
      </c>
      <c r="C59" s="16">
        <v>8.14</v>
      </c>
      <c r="D59" s="19" t="s">
        <v>138</v>
      </c>
      <c r="E59" s="10">
        <v>1913</v>
      </c>
      <c r="F59" s="11" t="s">
        <v>185</v>
      </c>
      <c r="G59" s="12">
        <f>E59/2800*100</f>
        <v>68.321428571428569</v>
      </c>
    </row>
    <row r="60" spans="1:7" x14ac:dyDescent="0.25">
      <c r="A60" s="9">
        <v>59</v>
      </c>
      <c r="B60" s="13" t="s">
        <v>58</v>
      </c>
      <c r="C60" s="16">
        <v>8.0399999999999991</v>
      </c>
      <c r="D60" s="19" t="s">
        <v>139</v>
      </c>
      <c r="E60" s="10">
        <v>1875</v>
      </c>
      <c r="F60" s="11" t="s">
        <v>185</v>
      </c>
      <c r="G60" s="12">
        <f>E60/2800*100</f>
        <v>66.964285714285708</v>
      </c>
    </row>
    <row r="61" spans="1:7" x14ac:dyDescent="0.25">
      <c r="A61" s="9">
        <v>60</v>
      </c>
      <c r="B61" s="13" t="s">
        <v>59</v>
      </c>
      <c r="C61" s="16">
        <v>9.0399999999999991</v>
      </c>
      <c r="D61" s="19" t="s">
        <v>114</v>
      </c>
      <c r="E61" s="10">
        <v>2117</v>
      </c>
      <c r="F61" s="11" t="s">
        <v>185</v>
      </c>
      <c r="G61" s="12">
        <f>E61/2800*100</f>
        <v>75.607142857142861</v>
      </c>
    </row>
    <row r="62" spans="1:7" x14ac:dyDescent="0.25">
      <c r="A62" s="9">
        <v>61</v>
      </c>
      <c r="B62" s="13" t="s">
        <v>60</v>
      </c>
      <c r="C62" s="16">
        <v>7.75</v>
      </c>
      <c r="D62" s="19" t="s">
        <v>140</v>
      </c>
      <c r="E62" s="10">
        <v>1844</v>
      </c>
      <c r="F62" s="11" t="s">
        <v>185</v>
      </c>
      <c r="G62" s="12">
        <f>E62/2800*100</f>
        <v>65.857142857142861</v>
      </c>
    </row>
    <row r="63" spans="1:7" x14ac:dyDescent="0.25">
      <c r="A63" s="9">
        <v>62</v>
      </c>
      <c r="B63" s="13" t="s">
        <v>61</v>
      </c>
      <c r="C63" s="16">
        <v>8.75</v>
      </c>
      <c r="D63" s="19" t="s">
        <v>141</v>
      </c>
      <c r="E63" s="10">
        <v>2087</v>
      </c>
      <c r="F63" s="11" t="s">
        <v>185</v>
      </c>
      <c r="G63" s="12">
        <f>E63/2800*100</f>
        <v>74.535714285714278</v>
      </c>
    </row>
    <row r="64" spans="1:7" x14ac:dyDescent="0.25">
      <c r="A64" s="9">
        <v>63</v>
      </c>
      <c r="B64" s="13" t="s">
        <v>62</v>
      </c>
      <c r="C64" s="16">
        <v>9.11</v>
      </c>
      <c r="D64" s="19" t="s">
        <v>113</v>
      </c>
      <c r="E64" s="10">
        <v>2171</v>
      </c>
      <c r="F64" s="11" t="s">
        <v>185</v>
      </c>
      <c r="G64" s="12">
        <f>E64/2800*100</f>
        <v>77.535714285714292</v>
      </c>
    </row>
    <row r="65" spans="1:7" x14ac:dyDescent="0.25">
      <c r="A65" s="9">
        <v>64</v>
      </c>
      <c r="B65" s="13" t="s">
        <v>63</v>
      </c>
      <c r="C65" s="16">
        <v>7.64</v>
      </c>
      <c r="D65" s="19" t="s">
        <v>115</v>
      </c>
      <c r="E65" s="10">
        <v>1867</v>
      </c>
      <c r="F65" s="10" t="s">
        <v>79</v>
      </c>
      <c r="G65" s="12">
        <f>E65/2800*100</f>
        <v>66.678571428571431</v>
      </c>
    </row>
    <row r="66" spans="1:7" x14ac:dyDescent="0.25">
      <c r="A66" s="9">
        <v>65</v>
      </c>
      <c r="B66" s="13" t="s">
        <v>64</v>
      </c>
      <c r="C66" s="16">
        <v>8</v>
      </c>
      <c r="D66" s="19" t="s">
        <v>142</v>
      </c>
      <c r="E66" s="10">
        <v>1866</v>
      </c>
      <c r="F66" s="11" t="s">
        <v>185</v>
      </c>
      <c r="G66" s="12">
        <f>E66/2800*100</f>
        <v>66.642857142857153</v>
      </c>
    </row>
    <row r="67" spans="1:7" x14ac:dyDescent="0.25">
      <c r="A67" s="9">
        <v>66</v>
      </c>
      <c r="B67" s="13" t="s">
        <v>65</v>
      </c>
      <c r="C67" s="16">
        <v>8</v>
      </c>
      <c r="D67" s="19" t="s">
        <v>143</v>
      </c>
      <c r="E67" s="10">
        <v>1861</v>
      </c>
      <c r="F67" s="10" t="s">
        <v>79</v>
      </c>
      <c r="G67" s="12">
        <f>E67/2800*100</f>
        <v>66.464285714285708</v>
      </c>
    </row>
    <row r="68" spans="1:7" x14ac:dyDescent="0.25">
      <c r="A68" s="9">
        <v>67</v>
      </c>
      <c r="B68" s="13" t="s">
        <v>66</v>
      </c>
      <c r="C68" s="16">
        <v>8.89</v>
      </c>
      <c r="D68" s="19" t="s">
        <v>144</v>
      </c>
      <c r="E68" s="10">
        <v>2140</v>
      </c>
      <c r="F68" s="11" t="s">
        <v>185</v>
      </c>
      <c r="G68" s="12">
        <f>E68/2800*100</f>
        <v>76.428571428571416</v>
      </c>
    </row>
    <row r="69" spans="1:7" x14ac:dyDescent="0.25">
      <c r="A69" s="9">
        <v>68</v>
      </c>
      <c r="B69" s="13" t="s">
        <v>67</v>
      </c>
      <c r="C69" s="16">
        <v>9.18</v>
      </c>
      <c r="D69" s="19" t="s">
        <v>145</v>
      </c>
      <c r="E69" s="10">
        <v>2221</v>
      </c>
      <c r="F69" s="11" t="s">
        <v>185</v>
      </c>
      <c r="G69" s="12">
        <f>E69/2800*100</f>
        <v>79.321428571428569</v>
      </c>
    </row>
    <row r="70" spans="1:7" x14ac:dyDescent="0.25">
      <c r="A70" s="9">
        <v>69</v>
      </c>
      <c r="B70" s="13" t="s">
        <v>68</v>
      </c>
      <c r="C70" s="16">
        <v>8.32</v>
      </c>
      <c r="D70" s="19" t="s">
        <v>146</v>
      </c>
      <c r="E70" s="10">
        <v>1947</v>
      </c>
      <c r="F70" s="11" t="s">
        <v>185</v>
      </c>
      <c r="G70" s="12">
        <f>E70/2800*100</f>
        <v>69.535714285714292</v>
      </c>
    </row>
    <row r="71" spans="1:7" x14ac:dyDescent="0.25">
      <c r="A71" s="9">
        <v>70</v>
      </c>
      <c r="B71" s="13" t="s">
        <v>69</v>
      </c>
      <c r="C71" s="16">
        <v>9</v>
      </c>
      <c r="D71" s="19" t="s">
        <v>147</v>
      </c>
      <c r="E71" s="10">
        <v>2104</v>
      </c>
      <c r="F71" s="11" t="s">
        <v>185</v>
      </c>
      <c r="G71" s="12">
        <f>E71/2800*100</f>
        <v>75.142857142857139</v>
      </c>
    </row>
    <row r="72" spans="1:7" x14ac:dyDescent="0.25">
      <c r="A72" s="9">
        <v>71</v>
      </c>
      <c r="B72" s="13" t="s">
        <v>70</v>
      </c>
      <c r="C72" s="16">
        <v>5.82</v>
      </c>
      <c r="D72" s="19" t="s">
        <v>148</v>
      </c>
      <c r="E72" s="10">
        <v>1669</v>
      </c>
      <c r="F72" s="10" t="s">
        <v>79</v>
      </c>
      <c r="G72" s="12">
        <f>E72/2800*100</f>
        <v>59.607142857142861</v>
      </c>
    </row>
    <row r="73" spans="1:7" x14ac:dyDescent="0.25">
      <c r="A73" s="9">
        <v>72</v>
      </c>
      <c r="B73" s="13" t="s">
        <v>71</v>
      </c>
      <c r="C73" s="16">
        <v>8.7100000000000009</v>
      </c>
      <c r="D73" s="19" t="s">
        <v>149</v>
      </c>
      <c r="E73" s="10">
        <v>2038</v>
      </c>
      <c r="F73" s="11" t="s">
        <v>185</v>
      </c>
      <c r="G73" s="12">
        <f>E73/2800*100</f>
        <v>72.785714285714292</v>
      </c>
    </row>
    <row r="74" spans="1:7" x14ac:dyDescent="0.25">
      <c r="A74" s="9">
        <v>73</v>
      </c>
      <c r="B74" s="13" t="s">
        <v>72</v>
      </c>
      <c r="C74" s="16">
        <v>8.39</v>
      </c>
      <c r="D74" s="19" t="s">
        <v>150</v>
      </c>
      <c r="E74" s="10">
        <v>1928</v>
      </c>
      <c r="F74" s="11" t="s">
        <v>185</v>
      </c>
      <c r="G74" s="12">
        <f>E74/2800*100</f>
        <v>68.857142857142861</v>
      </c>
    </row>
    <row r="75" spans="1:7" x14ac:dyDescent="0.25">
      <c r="A75" s="9">
        <v>74</v>
      </c>
      <c r="B75" s="13" t="s">
        <v>73</v>
      </c>
      <c r="C75" s="16">
        <v>9.7100000000000009</v>
      </c>
      <c r="D75" s="19" t="s">
        <v>151</v>
      </c>
      <c r="E75" s="10">
        <v>2455</v>
      </c>
      <c r="F75" s="11" t="s">
        <v>185</v>
      </c>
      <c r="G75" s="12">
        <f>E75/2800*100</f>
        <v>87.678571428571431</v>
      </c>
    </row>
    <row r="76" spans="1:7" x14ac:dyDescent="0.25">
      <c r="A76" s="9">
        <v>75</v>
      </c>
      <c r="B76" s="13" t="s">
        <v>74</v>
      </c>
      <c r="C76" s="16">
        <v>9.75</v>
      </c>
      <c r="D76" s="19" t="s">
        <v>152</v>
      </c>
      <c r="E76" s="10">
        <v>2487</v>
      </c>
      <c r="F76" s="11" t="s">
        <v>185</v>
      </c>
      <c r="G76" s="12">
        <f>E76/2800*100</f>
        <v>88.821428571428569</v>
      </c>
    </row>
    <row r="78" spans="1:7" x14ac:dyDescent="0.25">
      <c r="E78" s="14" t="s">
        <v>83</v>
      </c>
      <c r="F78" s="14">
        <f>COUNTIF(Table1[Result],"Pass")</f>
        <v>42</v>
      </c>
    </row>
    <row r="79" spans="1:7" x14ac:dyDescent="0.25">
      <c r="E79" s="14" t="s">
        <v>132</v>
      </c>
      <c r="F79" s="14">
        <f>COUNTIF(Table1[Result],"Fail")</f>
        <v>1</v>
      </c>
    </row>
    <row r="80" spans="1:7" x14ac:dyDescent="0.25">
      <c r="E80" s="14" t="s">
        <v>79</v>
      </c>
      <c r="F80" s="14">
        <f>COUNTIF(Table1[Result],"ATKT")</f>
        <v>32</v>
      </c>
    </row>
    <row r="81" spans="5:6" x14ac:dyDescent="0.25">
      <c r="E81" s="14" t="s">
        <v>175</v>
      </c>
      <c r="F81" s="14">
        <v>1</v>
      </c>
    </row>
    <row r="82" spans="5:6" x14ac:dyDescent="0.25">
      <c r="E82" s="14" t="s">
        <v>77</v>
      </c>
      <c r="F82" s="14">
        <f>SUM(F78:F81)</f>
        <v>76</v>
      </c>
    </row>
  </sheetData>
  <sortState ref="A2:W78">
    <sortCondition ref="A2"/>
  </sortState>
  <pageMargins left="0.7" right="0.7" top="0.75" bottom="0.75" header="0.3" footer="0.3"/>
  <pageSetup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7" sqref="D7"/>
    </sheetView>
  </sheetViews>
  <sheetFormatPr defaultRowHeight="15" x14ac:dyDescent="0.25"/>
  <cols>
    <col min="1" max="1" width="25.28515625" bestFit="1" customWidth="1"/>
    <col min="2" max="2" width="10.85546875" bestFit="1" customWidth="1"/>
    <col min="6" max="6" width="30.28515625" bestFit="1" customWidth="1"/>
    <col min="7" max="7" width="10.85546875" bestFit="1" customWidth="1"/>
    <col min="8" max="8" width="25.140625" bestFit="1" customWidth="1"/>
    <col min="9" max="9" width="10.7109375" customWidth="1"/>
    <col min="10" max="10" width="21" customWidth="1"/>
  </cols>
  <sheetData>
    <row r="1" spans="1:11" x14ac:dyDescent="0.25">
      <c r="A1" s="1" t="s">
        <v>165</v>
      </c>
      <c r="B1" s="1"/>
      <c r="F1" s="1" t="s">
        <v>153</v>
      </c>
      <c r="G1" s="1"/>
      <c r="H1" s="2" t="s">
        <v>154</v>
      </c>
      <c r="J1" t="s">
        <v>155</v>
      </c>
    </row>
    <row r="2" spans="1:11" ht="45" x14ac:dyDescent="0.25">
      <c r="A2" s="1" t="s">
        <v>156</v>
      </c>
      <c r="B2" s="1" t="s">
        <v>168</v>
      </c>
      <c r="F2" s="1" t="s">
        <v>159</v>
      </c>
      <c r="G2" s="1" t="s">
        <v>171</v>
      </c>
      <c r="H2" s="1" t="s">
        <v>162</v>
      </c>
      <c r="I2" s="1" t="s">
        <v>173</v>
      </c>
      <c r="J2" s="3" t="s">
        <v>54</v>
      </c>
      <c r="K2" s="4">
        <v>89.392857142857139</v>
      </c>
    </row>
    <row r="3" spans="1:11" ht="30" x14ac:dyDescent="0.25">
      <c r="A3" s="1" t="s">
        <v>157</v>
      </c>
      <c r="B3" s="1" t="s">
        <v>169</v>
      </c>
      <c r="F3" s="1" t="s">
        <v>160</v>
      </c>
      <c r="G3" s="1" t="s">
        <v>172</v>
      </c>
      <c r="H3" s="1" t="s">
        <v>163</v>
      </c>
      <c r="I3" s="1" t="s">
        <v>170</v>
      </c>
      <c r="J3" s="3" t="s">
        <v>74</v>
      </c>
      <c r="K3" s="4">
        <v>88.821428571428569</v>
      </c>
    </row>
    <row r="4" spans="1:11" ht="30" x14ac:dyDescent="0.25">
      <c r="A4" s="1" t="s">
        <v>158</v>
      </c>
      <c r="B4" s="1" t="s">
        <v>170</v>
      </c>
      <c r="F4" s="1" t="s">
        <v>161</v>
      </c>
      <c r="G4" s="1" t="s">
        <v>168</v>
      </c>
      <c r="H4" s="1" t="s">
        <v>164</v>
      </c>
      <c r="I4" s="1" t="s">
        <v>174</v>
      </c>
      <c r="J4" s="3" t="s">
        <v>73</v>
      </c>
      <c r="K4" s="4">
        <v>87.678571428571431</v>
      </c>
    </row>
    <row r="5" spans="1:11" ht="30" x14ac:dyDescent="0.25">
      <c r="J5" s="3" t="s">
        <v>23</v>
      </c>
      <c r="K5" s="4">
        <v>86.535714285714278</v>
      </c>
    </row>
    <row r="6" spans="1:11" ht="30" x14ac:dyDescent="0.25">
      <c r="J6" s="3" t="s">
        <v>18</v>
      </c>
      <c r="K6" s="4">
        <v>86.285714285714292</v>
      </c>
    </row>
    <row r="7" spans="1:11" ht="45" x14ac:dyDescent="0.25">
      <c r="J7" s="3" t="s">
        <v>19</v>
      </c>
      <c r="K7" s="4">
        <v>82.535714285714292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cvghn</dc:creator>
  <cp:lastModifiedBy>Admin</cp:lastModifiedBy>
  <dcterms:created xsi:type="dcterms:W3CDTF">2024-06-01T04:56:31Z</dcterms:created>
  <dcterms:modified xsi:type="dcterms:W3CDTF">2024-12-30T09:51:03Z</dcterms:modified>
</cp:coreProperties>
</file>