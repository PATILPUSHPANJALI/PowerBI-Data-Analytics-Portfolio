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X6" i="1" l="1"/>
  <c r="Q6" i="1"/>
  <c r="R6" i="1" s="1"/>
  <c r="X5" i="1"/>
  <c r="R5" i="1"/>
  <c r="Q5" i="1"/>
  <c r="X4" i="1"/>
  <c r="Q4" i="1"/>
  <c r="R4" i="1" s="1"/>
  <c r="X3" i="1"/>
  <c r="Q3" i="1"/>
  <c r="R3" i="1" s="1"/>
  <c r="X2" i="1"/>
  <c r="Q2" i="1"/>
  <c r="R2" i="1" s="1"/>
</calcChain>
</file>

<file path=xl/sharedStrings.xml><?xml version="1.0" encoding="utf-8"?>
<sst xmlns="http://schemas.openxmlformats.org/spreadsheetml/2006/main" count="45" uniqueCount="40">
  <si>
    <t>Sr.No</t>
  </si>
  <si>
    <t>Student Name</t>
  </si>
  <si>
    <t>A5.1 International business management</t>
  </si>
  <si>
    <t>A5.2 Entrepreneurship Development</t>
  </si>
  <si>
    <t xml:space="preserve">A5.3 Case Studies in Management </t>
  </si>
  <si>
    <t>A5.4(B) Customer Relationship 
Management</t>
  </si>
  <si>
    <t>A5.5(B) Retail Management</t>
  </si>
  <si>
    <t xml:space="preserve">A5.6 Practicals on Employability Skills-I </t>
  </si>
  <si>
    <t>A5.7 Practicals based on e-Commerce</t>
  </si>
  <si>
    <t>A6.1 Management of Services</t>
  </si>
  <si>
    <t>A6.2 Family Business Management</t>
  </si>
  <si>
    <t>A6.3 Cyber Security &amp; Laws</t>
  </si>
  <si>
    <t>A6.4(B) e-commerce and Digital Marketing</t>
  </si>
  <si>
    <t xml:space="preserve"> A6.5(B) Product and Brand Management</t>
  </si>
  <si>
    <t>A6.6 Practicals on Employability Skills-II</t>
  </si>
  <si>
    <t xml:space="preserve"> A6.7 Project Report based on Elective 
Group</t>
  </si>
  <si>
    <t>TOTAL MARKS OF TY</t>
  </si>
  <si>
    <t>Percentage</t>
  </si>
  <si>
    <t>CGPA</t>
  </si>
  <si>
    <t>SGPA</t>
  </si>
  <si>
    <t>TOTAL</t>
  </si>
  <si>
    <t>RESULT</t>
  </si>
  <si>
    <t>Grade</t>
  </si>
  <si>
    <t>TOTAL PERCENTAGE</t>
  </si>
  <si>
    <t>DOSHI SAURAV VINAY</t>
  </si>
  <si>
    <t>8.43/8.86</t>
  </si>
  <si>
    <t>A+</t>
  </si>
  <si>
    <t>JADHAV CHANDRAKANT SANJAY</t>
  </si>
  <si>
    <t>9.00/9.43</t>
  </si>
  <si>
    <t>SHAIKH SAHIL SHAFI</t>
  </si>
  <si>
    <t>49 F</t>
  </si>
  <si>
    <t>8.14/7.43</t>
  </si>
  <si>
    <t>FAIL</t>
  </si>
  <si>
    <t>SHIRODE ADITYA NARENDRA</t>
  </si>
  <si>
    <t>8.00/9.00</t>
  </si>
  <si>
    <t>YEOLEKAR AKSHAY SUNIL</t>
  </si>
  <si>
    <t>8.14/8.57</t>
  </si>
  <si>
    <t>A</t>
  </si>
  <si>
    <t xml:space="preserve">PASS        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</si>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</sst>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8"/>
      <color theme="1"/>
      <name val="Verdana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24"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X6" totalsRowShown="0">
  <autoFilter ref="A1:X6"/>
  <tableColumns count="24">
    <tableColumn id="1" name="Sr.No" dataDxfId="23"/>
    <tableColumn id="2" name="Student Name" dataDxfId="22"/>
    <tableColumn id="3" name="A5.1 International business management" dataDxfId="21"/>
    <tableColumn id="4" name="A5.2 Entrepreneurship Development" dataDxfId="20"/>
    <tableColumn id="5" name="A5.3 Case Studies in Management " dataDxfId="19"/>
    <tableColumn id="6" name="A5.4(B) Customer Relationship _x000a_Management" dataDxfId="18"/>
    <tableColumn id="7" name="A5.5(B) Retail Management" dataDxfId="17"/>
    <tableColumn id="8" name="A5.6 Practicals on Employability Skills-I " dataDxfId="16"/>
    <tableColumn id="9" name="A5.7 Practicals based on e-Commerce" dataDxfId="15"/>
    <tableColumn id="10" name="A6.1 Management of Services" dataDxfId="14"/>
    <tableColumn id="11" name="A6.2 Family Business Management" dataDxfId="13"/>
    <tableColumn id="12" name="A6.3 Cyber Security &amp; Laws" dataDxfId="12"/>
    <tableColumn id="13" name="A6.4(B) e-commerce and Digital Marketing" dataDxfId="11"/>
    <tableColumn id="14" name=" A6.5(B) Product and Brand Management" dataDxfId="10"/>
    <tableColumn id="15" name="A6.6 Practicals on Employability Skills-II" dataDxfId="9"/>
    <tableColumn id="16" name=" A6.7 Project Report based on Elective _x000a_Group" dataDxfId="8"/>
    <tableColumn id="26" name="TOTAL MARKS OF TY" dataDxfId="7">
      <calculatedColumnFormula>SUM(Table1[[#This Row],[A5.1 International business management]:[ A6.7 Project Report based on Elective 
Group]])</calculatedColumnFormula>
    </tableColumn>
    <tableColumn id="28" name="Percentage" dataDxfId="6">
      <calculatedColumnFormula>Table1[[#This Row],[TOTAL MARKS OF TY]]/14</calculatedColumnFormula>
    </tableColumn>
    <tableColumn id="17" name="CGPA" dataDxfId="5"/>
    <tableColumn id="18" name="SGPA" dataDxfId="4"/>
    <tableColumn id="19" name="TOTAL" dataDxfId="3"/>
    <tableColumn id="20" name="RESULT" dataDxfId="2"/>
    <tableColumn id="21" name="Grade" dataDxfId="1"/>
    <tableColumn id="22" name="TOTAL PERCENTAGE" dataDxfId="0">
      <calculatedColumnFormula>U2/42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tabSelected="1" topLeftCell="R1" workbookViewId="0">
      <selection activeCell="U2" sqref="U2:U6"/>
    </sheetView>
  </sheetViews>
  <sheetFormatPr defaultColWidth="39.85546875" defaultRowHeight="31.5" customHeight="1" x14ac:dyDescent="0.25"/>
  <sheetData>
    <row r="1" spans="1:24" ht="31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6" t="s">
        <v>23</v>
      </c>
    </row>
    <row r="2" spans="1:24" ht="31.5" customHeight="1" x14ac:dyDescent="0.25">
      <c r="A2" s="7">
        <v>1</v>
      </c>
      <c r="B2" s="8" t="s">
        <v>24</v>
      </c>
      <c r="C2" s="9">
        <v>69</v>
      </c>
      <c r="D2" s="9">
        <v>66</v>
      </c>
      <c r="E2" s="9">
        <v>69</v>
      </c>
      <c r="F2" s="9">
        <v>74</v>
      </c>
      <c r="G2" s="9">
        <v>59</v>
      </c>
      <c r="H2" s="9">
        <v>84</v>
      </c>
      <c r="I2" s="9">
        <v>77</v>
      </c>
      <c r="J2" s="9">
        <v>68</v>
      </c>
      <c r="K2" s="9">
        <v>64</v>
      </c>
      <c r="L2" s="9">
        <v>75</v>
      </c>
      <c r="M2" s="9">
        <v>69</v>
      </c>
      <c r="N2" s="9">
        <v>70</v>
      </c>
      <c r="O2" s="9">
        <v>90</v>
      </c>
      <c r="P2" s="10">
        <v>87</v>
      </c>
      <c r="Q2" s="10">
        <f>SUM(Table1[[#This Row],[A5.1 International business management]:[ A6.7 Project Report based on Elective 
Group]])</f>
        <v>1021</v>
      </c>
      <c r="R2" s="11">
        <f>Table1[[#This Row],[TOTAL MARKS OF TY]]/14</f>
        <v>72.928571428571431</v>
      </c>
      <c r="S2" s="10">
        <v>8.75</v>
      </c>
      <c r="T2" s="10" t="s">
        <v>25</v>
      </c>
      <c r="U2" s="10">
        <v>3177</v>
      </c>
      <c r="V2" s="12" t="s">
        <v>38</v>
      </c>
      <c r="W2" s="10" t="s">
        <v>26</v>
      </c>
      <c r="X2" s="13">
        <f>U2/42</f>
        <v>75.642857142857139</v>
      </c>
    </row>
    <row r="3" spans="1:24" ht="31.5" customHeight="1" x14ac:dyDescent="0.25">
      <c r="A3" s="7">
        <v>2</v>
      </c>
      <c r="B3" s="8" t="s">
        <v>27</v>
      </c>
      <c r="C3" s="9">
        <v>77</v>
      </c>
      <c r="D3" s="9">
        <v>81</v>
      </c>
      <c r="E3" s="9">
        <v>67</v>
      </c>
      <c r="F3" s="9">
        <v>78</v>
      </c>
      <c r="G3" s="9">
        <v>66</v>
      </c>
      <c r="H3" s="9">
        <v>77</v>
      </c>
      <c r="I3" s="9">
        <v>85</v>
      </c>
      <c r="J3" s="9">
        <v>82</v>
      </c>
      <c r="K3" s="9">
        <v>72</v>
      </c>
      <c r="L3" s="9">
        <v>81</v>
      </c>
      <c r="M3" s="9">
        <v>70</v>
      </c>
      <c r="N3" s="9">
        <v>69</v>
      </c>
      <c r="O3" s="9">
        <v>92</v>
      </c>
      <c r="P3" s="10">
        <v>90</v>
      </c>
      <c r="Q3" s="10">
        <f>SUM(Table1[[#This Row],[A5.1 International business management]:[ A6.7 Project Report based on Elective 
Group]])</f>
        <v>1087</v>
      </c>
      <c r="R3" s="11">
        <f>Table1[[#This Row],[TOTAL MARKS OF TY]]/14</f>
        <v>77.642857142857139</v>
      </c>
      <c r="S3" s="10">
        <v>8.85</v>
      </c>
      <c r="T3" s="10" t="s">
        <v>28</v>
      </c>
      <c r="U3" s="10">
        <v>3232</v>
      </c>
      <c r="V3" s="12" t="s">
        <v>39</v>
      </c>
      <c r="W3" s="10" t="s">
        <v>26</v>
      </c>
      <c r="X3" s="13">
        <f t="shared" ref="X3:X6" si="0">U3/42</f>
        <v>76.952380952380949</v>
      </c>
    </row>
    <row r="4" spans="1:24" ht="31.5" customHeight="1" x14ac:dyDescent="0.25">
      <c r="A4" s="7">
        <v>3</v>
      </c>
      <c r="B4" s="8" t="s">
        <v>29</v>
      </c>
      <c r="C4" s="9">
        <v>55</v>
      </c>
      <c r="D4" s="9">
        <v>60</v>
      </c>
      <c r="E4" s="9">
        <v>63</v>
      </c>
      <c r="F4" s="9">
        <v>56</v>
      </c>
      <c r="G4" s="9">
        <v>57</v>
      </c>
      <c r="H4" s="9">
        <v>80</v>
      </c>
      <c r="I4" s="9">
        <v>80</v>
      </c>
      <c r="J4" s="9">
        <v>65</v>
      </c>
      <c r="K4" s="7" t="s">
        <v>30</v>
      </c>
      <c r="L4" s="9">
        <v>60</v>
      </c>
      <c r="M4" s="9">
        <v>60</v>
      </c>
      <c r="N4" s="9">
        <v>61</v>
      </c>
      <c r="O4" s="9">
        <v>84</v>
      </c>
      <c r="P4" s="10">
        <v>84</v>
      </c>
      <c r="Q4" s="10">
        <f>SUM(Table1[[#This Row],[A5.1 International business management]:[ A6.7 Project Report based on Elective 
Group]])</f>
        <v>865</v>
      </c>
      <c r="R4" s="11">
        <f>Table1[[#This Row],[TOTAL MARKS OF TY]]/14</f>
        <v>61.785714285714285</v>
      </c>
      <c r="S4" s="10">
        <v>8.2100000000000009</v>
      </c>
      <c r="T4" s="10" t="s">
        <v>31</v>
      </c>
      <c r="U4" s="10">
        <v>3001</v>
      </c>
      <c r="V4" s="10" t="s">
        <v>32</v>
      </c>
      <c r="W4" s="14" t="s">
        <v>32</v>
      </c>
      <c r="X4" s="13">
        <f t="shared" si="0"/>
        <v>71.452380952380949</v>
      </c>
    </row>
    <row r="5" spans="1:24" ht="31.5" customHeight="1" x14ac:dyDescent="0.25">
      <c r="A5" s="7">
        <v>4</v>
      </c>
      <c r="B5" s="8" t="s">
        <v>33</v>
      </c>
      <c r="C5" s="9">
        <v>66</v>
      </c>
      <c r="D5" s="9">
        <v>59</v>
      </c>
      <c r="E5" s="9">
        <v>56</v>
      </c>
      <c r="F5" s="9">
        <v>58</v>
      </c>
      <c r="G5" s="9">
        <v>61</v>
      </c>
      <c r="H5" s="9">
        <v>86</v>
      </c>
      <c r="I5" s="9">
        <v>78</v>
      </c>
      <c r="J5" s="9">
        <v>77</v>
      </c>
      <c r="K5" s="9">
        <v>72</v>
      </c>
      <c r="L5" s="9">
        <v>71</v>
      </c>
      <c r="M5" s="9">
        <v>70</v>
      </c>
      <c r="N5" s="9">
        <v>59</v>
      </c>
      <c r="O5" s="9">
        <v>88</v>
      </c>
      <c r="P5" s="10">
        <v>89</v>
      </c>
      <c r="Q5" s="10">
        <f>SUM(Table1[[#This Row],[A5.1 International business management]:[ A6.7 Project Report based on Elective 
Group]])</f>
        <v>990</v>
      </c>
      <c r="R5" s="11">
        <f>Table1[[#This Row],[TOTAL MARKS OF TY]]/14</f>
        <v>70.714285714285708</v>
      </c>
      <c r="S5" s="10">
        <v>8.56</v>
      </c>
      <c r="T5" s="10" t="s">
        <v>34</v>
      </c>
      <c r="U5" s="10">
        <v>3130</v>
      </c>
      <c r="V5" s="12" t="s">
        <v>39</v>
      </c>
      <c r="W5" s="10" t="s">
        <v>26</v>
      </c>
      <c r="X5" s="13">
        <f t="shared" si="0"/>
        <v>74.523809523809518</v>
      </c>
    </row>
    <row r="6" spans="1:24" ht="31.5" customHeight="1" x14ac:dyDescent="0.25">
      <c r="A6" s="7">
        <v>5</v>
      </c>
      <c r="B6" s="8" t="s">
        <v>35</v>
      </c>
      <c r="C6" s="9">
        <v>57</v>
      </c>
      <c r="D6" s="9">
        <v>57</v>
      </c>
      <c r="E6" s="9">
        <v>61</v>
      </c>
      <c r="F6" s="9">
        <v>60</v>
      </c>
      <c r="G6" s="9">
        <v>58</v>
      </c>
      <c r="H6" s="9">
        <v>80</v>
      </c>
      <c r="I6" s="9">
        <v>81</v>
      </c>
      <c r="J6" s="9">
        <v>63</v>
      </c>
      <c r="K6" s="9">
        <v>60</v>
      </c>
      <c r="L6" s="9">
        <v>68</v>
      </c>
      <c r="M6" s="9">
        <v>68</v>
      </c>
      <c r="N6" s="9">
        <v>60</v>
      </c>
      <c r="O6" s="9">
        <v>85</v>
      </c>
      <c r="P6" s="10">
        <v>90</v>
      </c>
      <c r="Q6" s="10">
        <f>SUM(Table1[[#This Row],[A5.1 International business management]:[ A6.7 Project Report based on Elective 
Group]])</f>
        <v>948</v>
      </c>
      <c r="R6" s="11">
        <f>Table1[[#This Row],[TOTAL MARKS OF TY]]/14</f>
        <v>67.714285714285708</v>
      </c>
      <c r="S6" s="10">
        <v>8.31</v>
      </c>
      <c r="T6" s="10" t="s">
        <v>36</v>
      </c>
      <c r="U6" s="10">
        <v>3000</v>
      </c>
      <c r="V6" s="12" t="s">
        <v>39</v>
      </c>
      <c r="W6" s="10" t="s">
        <v>37</v>
      </c>
      <c r="X6" s="13">
        <f t="shared" si="0"/>
        <v>71.428571428571431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2024-12-25T16:09:17Z</dcterms:created>
  <dcterms:modified xsi:type="dcterms:W3CDTF">2024-12-30T14:55:20Z</dcterms:modified>
</cp:coreProperties>
</file>