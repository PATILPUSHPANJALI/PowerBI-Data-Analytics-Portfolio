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4" i="1" l="1"/>
  <c r="K3" i="1"/>
  <c r="K2" i="1"/>
  <c r="H17" i="1"/>
  <c r="H18" i="1"/>
  <c r="H19" i="1"/>
  <c r="H16" i="1"/>
  <c r="H14" i="1"/>
  <c r="H15" i="1"/>
  <c r="H12" i="1"/>
  <c r="H3" i="1"/>
  <c r="H4" i="1"/>
  <c r="H5" i="1"/>
  <c r="H6" i="1"/>
  <c r="H7" i="1"/>
  <c r="H8" i="1"/>
  <c r="H9" i="1"/>
  <c r="H10" i="1"/>
  <c r="H11" i="1"/>
  <c r="H2" i="1"/>
  <c r="H13" i="1"/>
  <c r="K5" i="1" l="1"/>
</calcChain>
</file>

<file path=xl/sharedStrings.xml><?xml version="1.0" encoding="utf-8"?>
<sst xmlns="http://schemas.openxmlformats.org/spreadsheetml/2006/main" count="84" uniqueCount="50">
  <si>
    <t>Sr No</t>
  </si>
  <si>
    <t>Name of Student</t>
  </si>
  <si>
    <t>CGPA</t>
  </si>
  <si>
    <t>SGPA</t>
  </si>
  <si>
    <t>TOTAL</t>
  </si>
  <si>
    <t>RESULT</t>
  </si>
  <si>
    <t>GRADE</t>
  </si>
  <si>
    <t>BAVISKAR KUNAL BHALERAO</t>
  </si>
  <si>
    <t>7.29/8.29</t>
  </si>
  <si>
    <t>Pass</t>
  </si>
  <si>
    <t>A Grade</t>
  </si>
  <si>
    <t>BHAMARE SUJATA SANJAY</t>
  </si>
  <si>
    <t>8.43/9.29</t>
  </si>
  <si>
    <t>A+ Grade</t>
  </si>
  <si>
    <t>BORASE VIKAS SANJAY</t>
  </si>
  <si>
    <t>6.14/5.71</t>
  </si>
  <si>
    <t>FAIL</t>
  </si>
  <si>
    <t>CHAUDHARI SWAPNIL ANIL</t>
  </si>
  <si>
    <t>9.14/9.43</t>
  </si>
  <si>
    <t>DEORE AVINASH ARUN</t>
  </si>
  <si>
    <t>8.86/9.57</t>
  </si>
  <si>
    <t>DEORE CHETAN SHIVAJI</t>
  </si>
  <si>
    <t>9.29/9.71</t>
  </si>
  <si>
    <t>DESALE HARSHADA SHAHAJI</t>
  </si>
  <si>
    <t>7.57/7.43</t>
  </si>
  <si>
    <t>KHARE PRASHANT MADHUKAR</t>
  </si>
  <si>
    <t>9.14/9.71</t>
  </si>
  <si>
    <t>MOHAMMED JAWAAD SHAIKH FAZLURRAHMAN</t>
  </si>
  <si>
    <t>8.57/6.57</t>
  </si>
  <si>
    <t>PATIL HARSHAWARDHAN ARUN</t>
  </si>
  <si>
    <t>PATIL SHUBHANGI ADHIKAR</t>
  </si>
  <si>
    <t>PATVE SHEKH SHAHID SHEKH AYUB</t>
  </si>
  <si>
    <t>9.43/9.43</t>
  </si>
  <si>
    <t>O Grade</t>
  </si>
  <si>
    <t>SANER SANJANA SHARAD</t>
  </si>
  <si>
    <t>8.86/9.29</t>
  </si>
  <si>
    <t>SHAIKH UZAIR NAZIMODDIN</t>
  </si>
  <si>
    <t>SONAR HIMANSHU ANIL</t>
  </si>
  <si>
    <t>SONAWANE LOKESH BHATU</t>
  </si>
  <si>
    <t>8.71/9.00</t>
  </si>
  <si>
    <t>TAWADE GAURI SATISH</t>
  </si>
  <si>
    <t>8.00/8.71</t>
  </si>
  <si>
    <t>UPASANI PRASAD SUNIL</t>
  </si>
  <si>
    <t>7.00/8.86</t>
  </si>
  <si>
    <t>PERCENTAGE</t>
  </si>
  <si>
    <t>PASS</t>
  </si>
  <si>
    <t>BLANK</t>
  </si>
  <si>
    <t>8.57/8.57</t>
  </si>
  <si>
    <t>5.15/6.12</t>
  </si>
  <si>
    <t>7.15/7.2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</si>
</sst>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1"/>
      <color theme="1"/>
      <name val="Calibri"/>
    </font>
    <font>
      <sz val="8"/>
      <color rgb="FF00000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/>
    <xf numFmtId="2" fontId="0" fillId="0" borderId="0" xfId="0" applyNumberFormat="1" applyBorder="1"/>
    <xf numFmtId="2" fontId="2" fillId="0" borderId="0" xfId="0" applyNumberFormat="1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10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H19" totalsRowShown="0" headerRowDxfId="9" dataDxfId="8">
  <autoFilter ref="A1:H19"/>
  <sortState ref="A2:H19">
    <sortCondition ref="A1:A19"/>
  </sortState>
  <tableColumns count="8">
    <tableColumn id="1" name="Sr No" dataDxfId="7"/>
    <tableColumn id="4" name="Name of Student" dataDxfId="6"/>
    <tableColumn id="19" name="CGPA" dataDxfId="5"/>
    <tableColumn id="20" name="SGPA" dataDxfId="4"/>
    <tableColumn id="21" name="TOTAL" dataDxfId="3"/>
    <tableColumn id="22" name="RESULT" dataDxfId="2"/>
    <tableColumn id="23" name="GRADE" dataDxfId="1"/>
    <tableColumn id="24" name="PERCEN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C12" sqref="C12"/>
    </sheetView>
  </sheetViews>
  <sheetFormatPr defaultRowHeight="15" x14ac:dyDescent="0.25"/>
  <cols>
    <col min="1" max="1" width="8.7109375" bestFit="1" customWidth="1"/>
    <col min="2" max="2" width="27.42578125" bestFit="1" customWidth="1"/>
    <col min="3" max="3" width="8.28515625" bestFit="1" customWidth="1"/>
    <col min="4" max="4" width="9" bestFit="1" customWidth="1"/>
    <col min="5" max="5" width="8.85546875" bestFit="1" customWidth="1"/>
    <col min="6" max="6" width="9.7109375" bestFit="1" customWidth="1"/>
    <col min="7" max="7" width="9.42578125" bestFit="1" customWidth="1"/>
    <col min="8" max="8" width="14.85546875" style="1" bestFit="1" customWidth="1"/>
    <col min="10" max="10" width="6.85546875" bestFit="1" customWidth="1"/>
    <col min="11" max="11" width="3" bestFit="1" customWidth="1"/>
  </cols>
  <sheetData>
    <row r="1" spans="1:11" ht="19.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44</v>
      </c>
    </row>
    <row r="2" spans="1:11" x14ac:dyDescent="0.25">
      <c r="A2" s="4">
        <v>1</v>
      </c>
      <c r="B2" s="4" t="s">
        <v>7</v>
      </c>
      <c r="C2" s="5">
        <v>8.02</v>
      </c>
      <c r="D2" s="5" t="s">
        <v>8</v>
      </c>
      <c r="E2" s="5">
        <v>2814</v>
      </c>
      <c r="F2" s="5" t="s">
        <v>9</v>
      </c>
      <c r="G2" s="5" t="s">
        <v>10</v>
      </c>
      <c r="H2" s="6">
        <f t="shared" ref="H2:H19" si="0">E2/42</f>
        <v>67</v>
      </c>
      <c r="J2" s="8" t="s">
        <v>45</v>
      </c>
      <c r="K2" s="8">
        <f>COUNTIF(Table2[RESULT],"Pass")</f>
        <v>11</v>
      </c>
    </row>
    <row r="3" spans="1:11" x14ac:dyDescent="0.25">
      <c r="A3" s="4">
        <v>2</v>
      </c>
      <c r="B3" s="4" t="s">
        <v>11</v>
      </c>
      <c r="C3" s="5">
        <v>9.19</v>
      </c>
      <c r="D3" s="5" t="s">
        <v>12</v>
      </c>
      <c r="E3" s="5">
        <v>3331</v>
      </c>
      <c r="F3" s="5" t="s">
        <v>9</v>
      </c>
      <c r="G3" s="5" t="s">
        <v>13</v>
      </c>
      <c r="H3" s="6">
        <f t="shared" si="0"/>
        <v>79.30952380952381</v>
      </c>
      <c r="J3" s="8" t="s">
        <v>16</v>
      </c>
      <c r="K3" s="8">
        <f>COUNTIF(Table2[RESULT],"FAIL")</f>
        <v>7</v>
      </c>
    </row>
    <row r="4" spans="1:11" x14ac:dyDescent="0.25">
      <c r="A4" s="4">
        <v>3</v>
      </c>
      <c r="B4" s="4" t="s">
        <v>14</v>
      </c>
      <c r="C4" s="5">
        <v>7.4</v>
      </c>
      <c r="D4" s="5" t="s">
        <v>15</v>
      </c>
      <c r="E4" s="5">
        <v>2766</v>
      </c>
      <c r="F4" s="5" t="s">
        <v>16</v>
      </c>
      <c r="G4" s="5" t="s">
        <v>16</v>
      </c>
      <c r="H4" s="6">
        <f t="shared" si="0"/>
        <v>65.857142857142861</v>
      </c>
      <c r="J4" s="8" t="s">
        <v>46</v>
      </c>
      <c r="K4" s="8">
        <f>COUNTBLANK(Table2[RESULT])</f>
        <v>0</v>
      </c>
    </row>
    <row r="5" spans="1:11" x14ac:dyDescent="0.25">
      <c r="A5" s="4">
        <v>4</v>
      </c>
      <c r="B5" s="4" t="s">
        <v>17</v>
      </c>
      <c r="C5" s="5">
        <v>9.43</v>
      </c>
      <c r="D5" s="5" t="s">
        <v>18</v>
      </c>
      <c r="E5" s="5">
        <v>3412</v>
      </c>
      <c r="F5" s="5" t="s">
        <v>9</v>
      </c>
      <c r="G5" s="5" t="s">
        <v>13</v>
      </c>
      <c r="H5" s="6">
        <f t="shared" si="0"/>
        <v>81.238095238095241</v>
      </c>
      <c r="J5" s="8" t="s">
        <v>4</v>
      </c>
      <c r="K5" s="8">
        <f>SUM(K2:K4)</f>
        <v>18</v>
      </c>
    </row>
    <row r="6" spans="1:11" x14ac:dyDescent="0.25">
      <c r="A6" s="4">
        <v>5</v>
      </c>
      <c r="B6" s="4" t="s">
        <v>19</v>
      </c>
      <c r="C6" s="5">
        <v>9.17</v>
      </c>
      <c r="D6" s="5" t="s">
        <v>20</v>
      </c>
      <c r="E6" s="5">
        <v>3213</v>
      </c>
      <c r="F6" s="5" t="s">
        <v>9</v>
      </c>
      <c r="G6" s="5" t="s">
        <v>13</v>
      </c>
      <c r="H6" s="6">
        <f t="shared" si="0"/>
        <v>76.5</v>
      </c>
    </row>
    <row r="7" spans="1:11" x14ac:dyDescent="0.25">
      <c r="A7" s="4">
        <v>6</v>
      </c>
      <c r="B7" s="4" t="s">
        <v>21</v>
      </c>
      <c r="C7" s="5">
        <v>9.41</v>
      </c>
      <c r="D7" s="5" t="s">
        <v>22</v>
      </c>
      <c r="E7" s="5">
        <v>3352</v>
      </c>
      <c r="F7" s="5" t="s">
        <v>9</v>
      </c>
      <c r="G7" s="5" t="s">
        <v>13</v>
      </c>
      <c r="H7" s="6">
        <f t="shared" si="0"/>
        <v>79.80952380952381</v>
      </c>
    </row>
    <row r="8" spans="1:11" x14ac:dyDescent="0.25">
      <c r="A8" s="4">
        <v>7</v>
      </c>
      <c r="B8" s="4" t="s">
        <v>23</v>
      </c>
      <c r="C8" s="5">
        <v>8.0500000000000007</v>
      </c>
      <c r="D8" s="5" t="s">
        <v>24</v>
      </c>
      <c r="E8" s="5">
        <v>2876</v>
      </c>
      <c r="F8" s="5" t="s">
        <v>16</v>
      </c>
      <c r="G8" s="5" t="s">
        <v>16</v>
      </c>
      <c r="H8" s="6">
        <f t="shared" si="0"/>
        <v>68.476190476190482</v>
      </c>
    </row>
    <row r="9" spans="1:11" x14ac:dyDescent="0.25">
      <c r="A9" s="4">
        <v>8</v>
      </c>
      <c r="B9" s="4" t="s">
        <v>25</v>
      </c>
      <c r="C9" s="5">
        <v>9.33</v>
      </c>
      <c r="D9" s="5" t="s">
        <v>26</v>
      </c>
      <c r="E9" s="5">
        <v>3475</v>
      </c>
      <c r="F9" s="5" t="s">
        <v>9</v>
      </c>
      <c r="G9" s="5" t="s">
        <v>13</v>
      </c>
      <c r="H9" s="6">
        <f t="shared" si="0"/>
        <v>82.738095238095241</v>
      </c>
    </row>
    <row r="10" spans="1:11" ht="21" x14ac:dyDescent="0.25">
      <c r="A10" s="4">
        <v>9</v>
      </c>
      <c r="B10" s="4" t="s">
        <v>27</v>
      </c>
      <c r="C10" s="5">
        <v>8.5500000000000007</v>
      </c>
      <c r="D10" s="5" t="s">
        <v>28</v>
      </c>
      <c r="E10" s="5">
        <v>3123</v>
      </c>
      <c r="F10" s="5" t="s">
        <v>16</v>
      </c>
      <c r="G10" s="5" t="s">
        <v>16</v>
      </c>
      <c r="H10" s="6">
        <f t="shared" si="0"/>
        <v>74.357142857142861</v>
      </c>
    </row>
    <row r="11" spans="1:11" x14ac:dyDescent="0.25">
      <c r="A11" s="4">
        <v>10</v>
      </c>
      <c r="B11" s="4" t="s">
        <v>29</v>
      </c>
      <c r="C11" s="5">
        <v>6.76</v>
      </c>
      <c r="D11" s="5" t="s">
        <v>48</v>
      </c>
      <c r="E11" s="5">
        <v>2300</v>
      </c>
      <c r="F11" s="5" t="s">
        <v>16</v>
      </c>
      <c r="G11" s="5" t="s">
        <v>16</v>
      </c>
      <c r="H11" s="6">
        <f t="shared" si="0"/>
        <v>54.761904761904759</v>
      </c>
    </row>
    <row r="12" spans="1:11" x14ac:dyDescent="0.25">
      <c r="A12" s="4">
        <v>11</v>
      </c>
      <c r="B12" s="4" t="s">
        <v>30</v>
      </c>
      <c r="C12" s="5"/>
      <c r="D12" s="5" t="s">
        <v>49</v>
      </c>
      <c r="E12" s="5">
        <v>2700</v>
      </c>
      <c r="F12" s="5" t="s">
        <v>16</v>
      </c>
      <c r="G12" s="5" t="s">
        <v>16</v>
      </c>
      <c r="H12" s="6">
        <f t="shared" si="0"/>
        <v>64.285714285714292</v>
      </c>
    </row>
    <row r="13" spans="1:11" ht="21" x14ac:dyDescent="0.25">
      <c r="A13" s="4">
        <v>12</v>
      </c>
      <c r="B13" s="4" t="s">
        <v>31</v>
      </c>
      <c r="C13" s="5">
        <v>9.6199999999999992</v>
      </c>
      <c r="D13" s="5" t="s">
        <v>32</v>
      </c>
      <c r="E13" s="5">
        <v>3629</v>
      </c>
      <c r="F13" s="5" t="s">
        <v>9</v>
      </c>
      <c r="G13" s="5" t="s">
        <v>33</v>
      </c>
      <c r="H13" s="6">
        <f t="shared" si="0"/>
        <v>86.404761904761898</v>
      </c>
    </row>
    <row r="14" spans="1:11" x14ac:dyDescent="0.25">
      <c r="A14" s="4">
        <v>13</v>
      </c>
      <c r="B14" s="4" t="s">
        <v>34</v>
      </c>
      <c r="C14" s="5">
        <v>9.33</v>
      </c>
      <c r="D14" s="5" t="s">
        <v>35</v>
      </c>
      <c r="E14" s="5">
        <v>3388</v>
      </c>
      <c r="F14" s="5" t="s">
        <v>9</v>
      </c>
      <c r="G14" s="5" t="s">
        <v>13</v>
      </c>
      <c r="H14" s="6">
        <f t="shared" si="0"/>
        <v>80.666666666666671</v>
      </c>
    </row>
    <row r="15" spans="1:11" x14ac:dyDescent="0.25">
      <c r="A15" s="4">
        <v>14</v>
      </c>
      <c r="B15" s="4" t="s">
        <v>36</v>
      </c>
      <c r="C15" s="5">
        <v>8.48</v>
      </c>
      <c r="D15" s="5" t="s">
        <v>47</v>
      </c>
      <c r="E15" s="5">
        <v>3050</v>
      </c>
      <c r="F15" s="5" t="s">
        <v>16</v>
      </c>
      <c r="G15" s="5" t="s">
        <v>16</v>
      </c>
      <c r="H15" s="6">
        <f t="shared" si="0"/>
        <v>72.61904761904762</v>
      </c>
    </row>
    <row r="16" spans="1:11" x14ac:dyDescent="0.25">
      <c r="A16" s="4">
        <v>15</v>
      </c>
      <c r="B16" s="4" t="s">
        <v>37</v>
      </c>
      <c r="C16" s="5">
        <v>9.48</v>
      </c>
      <c r="D16" s="5" t="s">
        <v>32</v>
      </c>
      <c r="E16" s="5">
        <v>3559</v>
      </c>
      <c r="F16" s="5" t="s">
        <v>9</v>
      </c>
      <c r="G16" s="5" t="s">
        <v>13</v>
      </c>
      <c r="H16" s="6">
        <f t="shared" si="0"/>
        <v>84.738095238095241</v>
      </c>
    </row>
    <row r="17" spans="1:8" x14ac:dyDescent="0.25">
      <c r="A17" s="4">
        <v>16</v>
      </c>
      <c r="B17" s="4" t="s">
        <v>38</v>
      </c>
      <c r="C17" s="5">
        <v>9.1199999999999992</v>
      </c>
      <c r="D17" s="5" t="s">
        <v>39</v>
      </c>
      <c r="E17" s="5">
        <v>3278</v>
      </c>
      <c r="F17" s="5" t="s">
        <v>9</v>
      </c>
      <c r="G17" s="5" t="s">
        <v>13</v>
      </c>
      <c r="H17" s="6">
        <f t="shared" si="0"/>
        <v>78.047619047619051</v>
      </c>
    </row>
    <row r="18" spans="1:8" x14ac:dyDescent="0.25">
      <c r="A18" s="4">
        <v>17</v>
      </c>
      <c r="B18" s="4" t="s">
        <v>40</v>
      </c>
      <c r="C18" s="5">
        <v>8.7899999999999991</v>
      </c>
      <c r="D18" s="5" t="s">
        <v>41</v>
      </c>
      <c r="E18" s="5">
        <v>3127</v>
      </c>
      <c r="F18" s="5" t="s">
        <v>9</v>
      </c>
      <c r="G18" s="5" t="s">
        <v>13</v>
      </c>
      <c r="H18" s="6">
        <f t="shared" si="0"/>
        <v>74.452380952380949</v>
      </c>
    </row>
    <row r="19" spans="1:8" x14ac:dyDescent="0.25">
      <c r="A19" s="4">
        <v>18</v>
      </c>
      <c r="B19" s="4" t="s">
        <v>42</v>
      </c>
      <c r="C19" s="5">
        <v>8.5500000000000007</v>
      </c>
      <c r="D19" s="5" t="s">
        <v>43</v>
      </c>
      <c r="E19" s="5">
        <v>3087</v>
      </c>
      <c r="F19" s="5" t="s">
        <v>16</v>
      </c>
      <c r="G19" s="5" t="s">
        <v>16</v>
      </c>
      <c r="H19" s="6">
        <f t="shared" si="0"/>
        <v>73.5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2024-12-25T12:40:55Z</dcterms:created>
  <dcterms:modified xsi:type="dcterms:W3CDTF">2024-12-28T04:17:57Z</dcterms:modified>
</cp:coreProperties>
</file>