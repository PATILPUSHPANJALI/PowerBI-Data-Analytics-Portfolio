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90" windowHeight="6945"/>
  </bookViews>
  <sheets>
    <sheet name="Sheet1" sheetId="1" r:id="rId1"/>
    <sheet name="Sheet2" sheetId="2" r:id="rId2"/>
  </sheets>
  <definedNames>
    <definedName name="_xlnm._FilterDatabase" localSheetId="0" hidden="1">Sheet1!$A$1:$W$1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2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54" i="1"/>
</calcChain>
</file>

<file path=xl/sharedStrings.xml><?xml version="1.0" encoding="utf-8"?>
<sst xmlns="http://schemas.openxmlformats.org/spreadsheetml/2006/main" count="358" uniqueCount="230">
  <si>
    <t>Sr No</t>
  </si>
  <si>
    <t>Seat Number</t>
  </si>
  <si>
    <t>Prn Number</t>
  </si>
  <si>
    <t>Name of Student</t>
  </si>
  <si>
    <t>AHIRE BHUPENDRA GHANSHYAM</t>
  </si>
  <si>
    <t>AHIRRAO HARSHAL ASHOK</t>
  </si>
  <si>
    <t>BAVASKAR JAYESH RAJENDRA</t>
  </si>
  <si>
    <t>BAVISKAR SHRUTI PRAVIN</t>
  </si>
  <si>
    <t>BELDAR SAHIL KHAN  AMIN KHAN</t>
  </si>
  <si>
    <t>BILADE DHANANJAY RAVINDRA</t>
  </si>
  <si>
    <t>BORASE ABHIJIT YUVARAJ</t>
  </si>
  <si>
    <t>BORASE HEMANT CHANDRASHEKHAR</t>
  </si>
  <si>
    <t>BORSE GANESH DNYANESHWAR</t>
  </si>
  <si>
    <t>CHAUDHARI AKANKSHA KISHOR</t>
  </si>
  <si>
    <t>CHAUDHARI HARSHADA DEEPAK</t>
  </si>
  <si>
    <t>CHAUDHARI HARSHAL KAILAS</t>
  </si>
  <si>
    <t>CHAUDHARI PRANJAL JAGDISH</t>
  </si>
  <si>
    <t>CHAUDHARI SHUBHAM KISHOR</t>
  </si>
  <si>
    <t>CHAVAN KUNAL NILKANTH</t>
  </si>
  <si>
    <t>CHAVAN ROHAN KANTILAL</t>
  </si>
  <si>
    <t>CHITTE SAKSHI VINOD</t>
  </si>
  <si>
    <t>DABHADE PRATIKSHA MARTAND</t>
  </si>
  <si>
    <t>DHOBI SAHIL SHAIKH AARIF</t>
  </si>
  <si>
    <t>DHOBI SHAIKH NAVEED SHAIKH MAHEMOOD</t>
  </si>
  <si>
    <t>DODE YOGESH RAJESH</t>
  </si>
  <si>
    <t>GAWARE VISHAL BALU</t>
  </si>
  <si>
    <t>GIRASE JAYESH KOMALSING</t>
  </si>
  <si>
    <t>GIRASE TANMAYI KIRANSING</t>
  </si>
  <si>
    <t>GURAV RADHIKA DHIRAJ</t>
  </si>
  <si>
    <t>JAGADALE JAYESH DNYANESHWAR</t>
  </si>
  <si>
    <t>JAMADAR NIKITA JITENDRA</t>
  </si>
  <si>
    <t>JOSHI AADITYA VASANT</t>
  </si>
  <si>
    <t>JOSHI ATHARVA VASANT</t>
  </si>
  <si>
    <t>KHAIRNAR HARSHAL PRAMOD</t>
  </si>
  <si>
    <t>KHAIRNAR KETAN EKNATH</t>
  </si>
  <si>
    <t>KOLI SANDHYA DEEPAK</t>
  </si>
  <si>
    <t>MAIN ABHISHEK SANJAY</t>
  </si>
  <si>
    <t>NERKAR PRERANA HEMARAJ</t>
  </si>
  <si>
    <t>PATIL ARPITA SAMBHAJI</t>
  </si>
  <si>
    <t>PATIL BHUSHAN RAVINDRA</t>
  </si>
  <si>
    <t>PATIL BHUSHAN SHANTARAM</t>
  </si>
  <si>
    <t>PATIL CHETAN DNYANESHWAR</t>
  </si>
  <si>
    <t>PATIL CHETAN PANDURANG</t>
  </si>
  <si>
    <t>PATIL DINESH BANSILAL</t>
  </si>
  <si>
    <t>PATIL DINESH VISHWAS</t>
  </si>
  <si>
    <t>PATIL DIPALI GAJENDRA</t>
  </si>
  <si>
    <t>PATIL DIVESH MADHUKAR</t>
  </si>
  <si>
    <t>PATIL HARSHAL VIKAS</t>
  </si>
  <si>
    <t>PATIL JAYESH RAVINDRA</t>
  </si>
  <si>
    <t>PATIL KUNAL RAVINDRA</t>
  </si>
  <si>
    <t>PATIL LALIT PRUTHVIRAJ</t>
  </si>
  <si>
    <t>PATIL MAYUR PRALHAD</t>
  </si>
  <si>
    <t>PATIL MAYUR YOGRAJ</t>
  </si>
  <si>
    <t>PATIL MAYURI SAMADHAN</t>
  </si>
  <si>
    <t>PATIL MAYURKUMAR SANJAY</t>
  </si>
  <si>
    <t>PATIL NILESH VISHWAS</t>
  </si>
  <si>
    <t>PATIL PRAVIN DNYANESHWAR</t>
  </si>
  <si>
    <t>PATIL PUSHPANJALI MANOHAR</t>
  </si>
  <si>
    <t>PATIL RAJ VIKAS</t>
  </si>
  <si>
    <t>PATIL RITESH CHUDAMAN</t>
  </si>
  <si>
    <t>PATIL SANIKA DAIVAT</t>
  </si>
  <si>
    <t>PATIL SIDDHARTH JIJABRAO</t>
  </si>
  <si>
    <t>PATIL VIPUL PRAKASH</t>
  </si>
  <si>
    <t>PATIL VIRENDRA RATILAL</t>
  </si>
  <si>
    <t>PATIL VIVEKANAND SANTOSH</t>
  </si>
  <si>
    <t>PATIL YASH RANGRAO</t>
  </si>
  <si>
    <t>PAWAR HARSHAL SHARAD</t>
  </si>
  <si>
    <t>PAWAR VIJAY MADHUKAR</t>
  </si>
  <si>
    <t>RAJPUT YOGESH RAMSAGUN</t>
  </si>
  <si>
    <t>SAINDANE NEHA SATISH</t>
  </si>
  <si>
    <t>SHENDE SATYAM PRASHANT</t>
  </si>
  <si>
    <t>SONAWANE CHETAN RAJENDRA</t>
  </si>
  <si>
    <t>SONAWANE NIKHIL PRADIP</t>
  </si>
  <si>
    <t>SURYAWANSHI KARTIK KISHOR</t>
  </si>
  <si>
    <t>THAKARE ROHIT NANDU</t>
  </si>
  <si>
    <t>TORAWANE GAURAV RAVINDRA</t>
  </si>
  <si>
    <t>WAGH SAKSHI RAKESH</t>
  </si>
  <si>
    <t>YEOLE NITIN SHRAVAN</t>
  </si>
  <si>
    <t>2022015400229910</t>
  </si>
  <si>
    <t>BCA-403 Java Programming</t>
  </si>
  <si>
    <t>BCA-405 Lab on Data Structure</t>
  </si>
  <si>
    <t>BCA-406 Lab on Java Programming</t>
  </si>
  <si>
    <t>BCA-407 A) Lab on Web Development Technology-II</t>
  </si>
  <si>
    <t>CGPA</t>
  </si>
  <si>
    <t>SGPA</t>
  </si>
  <si>
    <t>Total</t>
  </si>
  <si>
    <t>28(F)</t>
  </si>
  <si>
    <t>39(F)</t>
  </si>
  <si>
    <t>36(F)</t>
  </si>
  <si>
    <t>Result</t>
  </si>
  <si>
    <t>ATKT</t>
  </si>
  <si>
    <t>5.86  /7.14 </t>
  </si>
  <si>
    <t>40(F)</t>
  </si>
  <si>
    <t>43(F)</t>
  </si>
  <si>
    <t>47(F)</t>
  </si>
  <si>
    <t>30(F)</t>
  </si>
  <si>
    <t xml:space="preserve">6.00 /4.71 </t>
  </si>
  <si>
    <t xml:space="preserve">BCA-404 A) Web Development Technology-II/ BCA-304 B) Data Analytics-II	</t>
  </si>
  <si>
    <t xml:space="preserve">7.71 /9.00 </t>
  </si>
  <si>
    <t>Pass</t>
  </si>
  <si>
    <t>41(F)</t>
  </si>
  <si>
    <t>46(F)</t>
  </si>
  <si>
    <t xml:space="preserve">5.43 /7.86 </t>
  </si>
  <si>
    <t xml:space="preserve">9.14 /9.71 </t>
  </si>
  <si>
    <t xml:space="preserve">9.29 /9.14 </t>
  </si>
  <si>
    <t xml:space="preserve">8.57 /9.14 </t>
  </si>
  <si>
    <t xml:space="preserve">9.00 /9.57 </t>
  </si>
  <si>
    <t xml:space="preserve">8.57 / 8.86 </t>
  </si>
  <si>
    <t>44(F)</t>
  </si>
  <si>
    <t>50(F)</t>
  </si>
  <si>
    <t xml:space="preserve">7.43 /6.86 </t>
  </si>
  <si>
    <t>^47+8</t>
  </si>
  <si>
    <t>52(F)</t>
  </si>
  <si>
    <t xml:space="preserve">8.14 /7.29 </t>
  </si>
  <si>
    <t>^41+7</t>
  </si>
  <si>
    <t>42(F)</t>
  </si>
  <si>
    <t>48(F)</t>
  </si>
  <si>
    <t xml:space="preserve">6.43 /6.71 </t>
  </si>
  <si>
    <t>3(F)</t>
  </si>
  <si>
    <t>45(F)</t>
  </si>
  <si>
    <t xml:space="preserve">6.29 /5.00 </t>
  </si>
  <si>
    <t>51(F)</t>
  </si>
  <si>
    <t xml:space="preserve">6.57 /7.57 </t>
  </si>
  <si>
    <t xml:space="preserve">9.43 /9.14 </t>
  </si>
  <si>
    <t>9.86 </t>
  </si>
  <si>
    <t xml:space="preserve">9.71 /9.86 </t>
  </si>
  <si>
    <t xml:space="preserve">9.14 /9.43 </t>
  </si>
  <si>
    <t xml:space="preserve">8.86 /9.43 </t>
  </si>
  <si>
    <t xml:space="preserve">9.57 /9.86 </t>
  </si>
  <si>
    <t xml:space="preserve">9.14 /7.86 </t>
  </si>
  <si>
    <t xml:space="preserve">9.71 /9.43 </t>
  </si>
  <si>
    <t xml:space="preserve">9.00 /9.43 </t>
  </si>
  <si>
    <t>9.43 </t>
  </si>
  <si>
    <t xml:space="preserve">8.29 /9.43 </t>
  </si>
  <si>
    <t>9(F)</t>
  </si>
  <si>
    <t>2(F)</t>
  </si>
  <si>
    <t>^19+5</t>
  </si>
  <si>
    <t xml:space="preserve">7.43 / 6.29 </t>
  </si>
  <si>
    <t xml:space="preserve">8.43 /9.00 </t>
  </si>
  <si>
    <t>8.57/8.86</t>
  </si>
  <si>
    <t>34(F)</t>
  </si>
  <si>
    <t>6.00/8.00</t>
  </si>
  <si>
    <t>32(F)</t>
  </si>
  <si>
    <t>5.86/6.71</t>
  </si>
  <si>
    <t xml:space="preserve">8.57 /9.00 </t>
  </si>
  <si>
    <t xml:space="preserve">8.14 /6.86 </t>
  </si>
  <si>
    <t>9.00/9.29</t>
  </si>
  <si>
    <t>9.29/9.57</t>
  </si>
  <si>
    <t>34(AB)</t>
  </si>
  <si>
    <t>8.00/7.43</t>
  </si>
  <si>
    <t>8.71/9.40</t>
  </si>
  <si>
    <t>41(f)</t>
  </si>
  <si>
    <t>7.00/6.71</t>
  </si>
  <si>
    <t>30(AB)</t>
  </si>
  <si>
    <t>6.57/6.00</t>
  </si>
  <si>
    <t>8.43/7.71</t>
  </si>
  <si>
    <t>9.00/7.71</t>
  </si>
  <si>
    <t>26(F)</t>
  </si>
  <si>
    <t>6.00/7.43</t>
  </si>
  <si>
    <t>8.86/9.29</t>
  </si>
  <si>
    <t>35(F)</t>
  </si>
  <si>
    <t>5.00/6.40</t>
  </si>
  <si>
    <t>38(F)</t>
  </si>
  <si>
    <t>4.43/7.00</t>
  </si>
  <si>
    <t>8.00/8.61</t>
  </si>
  <si>
    <t>9.14/8.14</t>
  </si>
  <si>
    <t>29(F)</t>
  </si>
  <si>
    <t>4.00/7.00</t>
  </si>
  <si>
    <t>7.43/8.29</t>
  </si>
  <si>
    <t>9.00/9.00</t>
  </si>
  <si>
    <t>56(F)</t>
  </si>
  <si>
    <t>8.14/6.43</t>
  </si>
  <si>
    <t>29(AB)</t>
  </si>
  <si>
    <t>28(AB)</t>
  </si>
  <si>
    <t>32(AB)</t>
  </si>
  <si>
    <t>31(AB)</t>
  </si>
  <si>
    <t>8.43/1.00</t>
  </si>
  <si>
    <t>Fail</t>
  </si>
  <si>
    <t>7.71/9.29</t>
  </si>
  <si>
    <t>8.71/9.57</t>
  </si>
  <si>
    <t>9.86/10</t>
  </si>
  <si>
    <t>7.00/8.71</t>
  </si>
  <si>
    <t>7.29/7.29</t>
  </si>
  <si>
    <t>51+8</t>
  </si>
  <si>
    <t>8.29/8.71</t>
  </si>
  <si>
    <t>8.00/8.00</t>
  </si>
  <si>
    <t>8.43/8.29</t>
  </si>
  <si>
    <t>8.71/8.86</t>
  </si>
  <si>
    <t>7.57/8.57</t>
  </si>
  <si>
    <t>8.71/7.29</t>
  </si>
  <si>
    <t>8.86/9.00</t>
  </si>
  <si>
    <t>9.29/9.29</t>
  </si>
  <si>
    <t>7.71/8.86</t>
  </si>
  <si>
    <t>9.29/9.00</t>
  </si>
  <si>
    <t>5.86/5.86</t>
  </si>
  <si>
    <t>8.29/8.29</t>
  </si>
  <si>
    <t>8.57/8.29</t>
  </si>
  <si>
    <t>9.71/9.57</t>
  </si>
  <si>
    <t>9.71/9.86</t>
  </si>
  <si>
    <t>BCA III</t>
  </si>
  <si>
    <t>BBA III</t>
  </si>
  <si>
    <t>BCA II</t>
  </si>
  <si>
    <t>priti prakash wagh</t>
  </si>
  <si>
    <t>Pratik Dipak Patil</t>
  </si>
  <si>
    <t>Nikita Chandrakant Ahirrao</t>
  </si>
  <si>
    <t>Patave Shekh Shahid Shekh ayub</t>
  </si>
  <si>
    <t>Sonar Himanshu Anil</t>
  </si>
  <si>
    <t>Chaudhari Swapnil Anil</t>
  </si>
  <si>
    <t>Jadhava Chandkrant Sanjay</t>
  </si>
  <si>
    <t>Doshi Saurav Vinay</t>
  </si>
  <si>
    <t>Shirode Aditya Narandra</t>
  </si>
  <si>
    <t>MMS II</t>
  </si>
  <si>
    <t xml:space="preserve">6.43  /8.29 </t>
  </si>
  <si>
    <t>per</t>
  </si>
  <si>
    <t>9.43(CGPA)</t>
  </si>
  <si>
    <t>9.29(CGPA)</t>
  </si>
  <si>
    <t>8.75(CGPA)</t>
  </si>
  <si>
    <t>9.62(CGPA)</t>
  </si>
  <si>
    <t>9.48(CGPA)</t>
  </si>
  <si>
    <t>8.85(CGPA)</t>
  </si>
  <si>
    <t>8.56(CGPA)</t>
  </si>
  <si>
    <t xml:space="preserve"> Mathematics</t>
  </si>
  <si>
    <t xml:space="preserve"> Operating System</t>
  </si>
  <si>
    <t xml:space="preserve"> Programming in C++</t>
  </si>
  <si>
    <t xml:space="preserve">A) Web-I                                    B) Data-I	</t>
  </si>
  <si>
    <t>Lab on Operating System</t>
  </si>
  <si>
    <t>Lab on C ++ Programming</t>
  </si>
  <si>
    <t>Software Engineering</t>
  </si>
  <si>
    <t xml:space="preserve"> Data Structures</t>
  </si>
  <si>
    <t xml:space="preserve"> A)Lab on Web-I B)Lab on Data-I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</si>
</sst>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1" fontId="3" fillId="0" borderId="1" xfId="0" quotePrefix="1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/>
    <xf numFmtId="2" fontId="0" fillId="0" borderId="1" xfId="0" applyNumberFormat="1" applyBorder="1" applyAlignment="1">
      <alignment horizontal="center" vertical="center"/>
    </xf>
    <xf numFmtId="1" fontId="1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tabSelected="1" zoomScale="98" zoomScaleNormal="98" workbookViewId="0">
      <selection activeCell="D3" sqref="D3"/>
    </sheetView>
  </sheetViews>
  <sheetFormatPr defaultRowHeight="15" x14ac:dyDescent="0.25"/>
  <cols>
    <col min="1" max="1" width="4.5703125" customWidth="1"/>
    <col min="2" max="2" width="12.140625" customWidth="1"/>
    <col min="3" max="3" width="25.85546875" customWidth="1"/>
    <col min="4" max="4" width="52.7109375" bestFit="1" customWidth="1"/>
    <col min="5" max="5" width="15" bestFit="1" customWidth="1"/>
    <col min="6" max="6" width="12" bestFit="1" customWidth="1"/>
    <col min="7" max="7" width="15.85546875" bestFit="1" customWidth="1"/>
    <col min="8" max="8" width="12.140625" bestFit="1" customWidth="1"/>
    <col min="9" max="9" width="17.28515625" customWidth="1"/>
    <col min="10" max="10" width="15.85546875" customWidth="1"/>
    <col min="11" max="11" width="22.42578125" customWidth="1"/>
    <col min="12" max="13" width="14" customWidth="1"/>
    <col min="14" max="14" width="15.42578125" customWidth="1"/>
    <col min="15" max="15" width="32.28515625" customWidth="1"/>
    <col min="16" max="16" width="15.28515625" customWidth="1"/>
    <col min="17" max="17" width="15.5703125" customWidth="1"/>
    <col min="18" max="18" width="22.28515625" customWidth="1"/>
    <col min="20" max="20" width="18.28515625" bestFit="1" customWidth="1"/>
    <col min="23" max="23" width="17.7109375" bestFit="1" customWidth="1"/>
  </cols>
  <sheetData>
    <row r="1" spans="1:23" s="16" customFormat="1" ht="60" x14ac:dyDescent="0.25">
      <c r="A1" s="17" t="s">
        <v>0</v>
      </c>
      <c r="B1" s="17" t="s">
        <v>1</v>
      </c>
      <c r="C1" s="17" t="s">
        <v>2</v>
      </c>
      <c r="D1" s="17" t="s">
        <v>3</v>
      </c>
      <c r="E1" s="5" t="s">
        <v>221</v>
      </c>
      <c r="F1" s="5" t="s">
        <v>222</v>
      </c>
      <c r="G1" s="9" t="s">
        <v>223</v>
      </c>
      <c r="H1" s="9" t="s">
        <v>224</v>
      </c>
      <c r="I1" s="9" t="s">
        <v>225</v>
      </c>
      <c r="J1" s="9" t="s">
        <v>226</v>
      </c>
      <c r="K1" s="9" t="s">
        <v>229</v>
      </c>
      <c r="L1" s="9" t="s">
        <v>227</v>
      </c>
      <c r="M1" s="9" t="s">
        <v>228</v>
      </c>
      <c r="N1" s="9" t="s">
        <v>79</v>
      </c>
      <c r="O1" s="9" t="s">
        <v>97</v>
      </c>
      <c r="P1" s="9" t="s">
        <v>80</v>
      </c>
      <c r="Q1" s="9" t="s">
        <v>81</v>
      </c>
      <c r="R1" s="9" t="s">
        <v>82</v>
      </c>
      <c r="S1" s="4" t="s">
        <v>83</v>
      </c>
      <c r="T1" s="4" t="s">
        <v>84</v>
      </c>
      <c r="U1" s="4" t="s">
        <v>85</v>
      </c>
      <c r="V1" s="4" t="s">
        <v>89</v>
      </c>
      <c r="W1" s="18" t="s">
        <v>213</v>
      </c>
    </row>
    <row r="2" spans="1:23" ht="30" x14ac:dyDescent="0.25">
      <c r="A2" s="5">
        <v>1</v>
      </c>
      <c r="B2" s="5">
        <v>359090</v>
      </c>
      <c r="C2" s="6" t="s">
        <v>78</v>
      </c>
      <c r="D2" s="7" t="s">
        <v>4</v>
      </c>
      <c r="E2" s="8" t="s">
        <v>86</v>
      </c>
      <c r="F2" s="8">
        <v>63</v>
      </c>
      <c r="G2" s="8" t="s">
        <v>87</v>
      </c>
      <c r="H2" s="8">
        <v>55</v>
      </c>
      <c r="I2" s="8">
        <v>72</v>
      </c>
      <c r="J2" s="8">
        <v>71</v>
      </c>
      <c r="K2" s="8">
        <v>67</v>
      </c>
      <c r="L2" s="8">
        <v>47</v>
      </c>
      <c r="M2" s="8">
        <v>55</v>
      </c>
      <c r="N2" s="8">
        <v>67</v>
      </c>
      <c r="O2" s="8">
        <v>66</v>
      </c>
      <c r="P2" s="8">
        <v>76</v>
      </c>
      <c r="Q2" s="9">
        <v>76</v>
      </c>
      <c r="R2" s="8">
        <v>74</v>
      </c>
      <c r="S2" s="8">
        <v>6.46</v>
      </c>
      <c r="T2" s="8" t="s">
        <v>91</v>
      </c>
      <c r="U2" s="8">
        <v>1699</v>
      </c>
      <c r="V2" s="8" t="s">
        <v>90</v>
      </c>
      <c r="W2" s="1">
        <f t="shared" ref="W2:W33" si="0">U2/2800*100</f>
        <v>60.678571428571423</v>
      </c>
    </row>
    <row r="3" spans="1:23" ht="30" x14ac:dyDescent="0.25">
      <c r="A3" s="5">
        <v>2</v>
      </c>
      <c r="B3" s="5">
        <v>359092</v>
      </c>
      <c r="C3" s="10">
        <v>2022015400281230</v>
      </c>
      <c r="D3" s="7" t="s">
        <v>5</v>
      </c>
      <c r="E3" s="8">
        <v>49</v>
      </c>
      <c r="F3" s="8">
        <v>57</v>
      </c>
      <c r="G3" s="8" t="s">
        <v>88</v>
      </c>
      <c r="H3" s="8">
        <v>59</v>
      </c>
      <c r="I3" s="8">
        <v>68</v>
      </c>
      <c r="J3" s="8">
        <v>71</v>
      </c>
      <c r="K3" s="8">
        <v>71</v>
      </c>
      <c r="L3" s="8">
        <v>62</v>
      </c>
      <c r="M3" s="8">
        <v>55</v>
      </c>
      <c r="N3" s="11">
        <v>58</v>
      </c>
      <c r="O3" s="8">
        <v>78</v>
      </c>
      <c r="P3" s="8">
        <v>73</v>
      </c>
      <c r="Q3" s="8">
        <v>74</v>
      </c>
      <c r="R3" s="8">
        <v>77</v>
      </c>
      <c r="S3" s="8">
        <v>7.54</v>
      </c>
      <c r="T3" s="8" t="s">
        <v>212</v>
      </c>
      <c r="U3" s="8">
        <v>1794</v>
      </c>
      <c r="V3" s="8" t="s">
        <v>90</v>
      </c>
      <c r="W3" s="1">
        <f t="shared" si="0"/>
        <v>64.071428571428569</v>
      </c>
    </row>
    <row r="4" spans="1:23" ht="30" x14ac:dyDescent="0.25">
      <c r="A4" s="5">
        <v>3</v>
      </c>
      <c r="B4" s="5">
        <v>359096</v>
      </c>
      <c r="C4" s="10">
        <v>2022015400230010</v>
      </c>
      <c r="D4" s="7" t="s">
        <v>6</v>
      </c>
      <c r="E4" s="8">
        <v>64</v>
      </c>
      <c r="F4" s="8" t="s">
        <v>92</v>
      </c>
      <c r="G4" s="8" t="s">
        <v>87</v>
      </c>
      <c r="H4" s="8">
        <v>56</v>
      </c>
      <c r="I4" s="8">
        <v>79</v>
      </c>
      <c r="J4" s="8">
        <v>75</v>
      </c>
      <c r="K4" s="8">
        <v>73</v>
      </c>
      <c r="L4" s="8">
        <v>53</v>
      </c>
      <c r="M4" s="8" t="s">
        <v>93</v>
      </c>
      <c r="N4" s="8">
        <v>75</v>
      </c>
      <c r="O4" s="8" t="s">
        <v>94</v>
      </c>
      <c r="P4" s="8" t="s">
        <v>95</v>
      </c>
      <c r="Q4" s="8">
        <v>73</v>
      </c>
      <c r="R4" s="8">
        <v>75</v>
      </c>
      <c r="S4" s="8">
        <v>6.75</v>
      </c>
      <c r="T4" s="8" t="s">
        <v>96</v>
      </c>
      <c r="U4" s="8">
        <v>1768</v>
      </c>
      <c r="V4" s="12" t="s">
        <v>90</v>
      </c>
      <c r="W4" s="1">
        <f t="shared" si="0"/>
        <v>63.142857142857146</v>
      </c>
    </row>
    <row r="5" spans="1:23" ht="30" x14ac:dyDescent="0.25">
      <c r="A5" s="5">
        <v>4</v>
      </c>
      <c r="B5" s="5">
        <v>359097</v>
      </c>
      <c r="C5" s="10">
        <v>2022015400229600</v>
      </c>
      <c r="D5" s="7" t="s">
        <v>7</v>
      </c>
      <c r="E5" s="8">
        <v>68</v>
      </c>
      <c r="F5" s="8">
        <v>50</v>
      </c>
      <c r="G5" s="8">
        <v>54</v>
      </c>
      <c r="H5" s="8">
        <v>50</v>
      </c>
      <c r="I5" s="8">
        <v>86</v>
      </c>
      <c r="J5" s="8">
        <v>78</v>
      </c>
      <c r="K5" s="8">
        <v>77</v>
      </c>
      <c r="L5" s="8">
        <v>67</v>
      </c>
      <c r="M5" s="8">
        <v>56</v>
      </c>
      <c r="N5" s="8">
        <v>73</v>
      </c>
      <c r="O5" s="8">
        <v>79</v>
      </c>
      <c r="P5" s="8">
        <v>82</v>
      </c>
      <c r="Q5" s="8">
        <v>85</v>
      </c>
      <c r="R5" s="8">
        <v>85</v>
      </c>
      <c r="S5" s="8">
        <v>8.4600000000000009</v>
      </c>
      <c r="T5" s="8" t="s">
        <v>98</v>
      </c>
      <c r="U5" s="8">
        <v>1982</v>
      </c>
      <c r="V5" s="12" t="s">
        <v>99</v>
      </c>
      <c r="W5" s="1">
        <f t="shared" si="0"/>
        <v>70.785714285714292</v>
      </c>
    </row>
    <row r="6" spans="1:23" ht="30" x14ac:dyDescent="0.25">
      <c r="A6" s="5">
        <v>5</v>
      </c>
      <c r="B6" s="5">
        <v>359099</v>
      </c>
      <c r="C6" s="10">
        <v>2022015400230100</v>
      </c>
      <c r="D6" s="7" t="s">
        <v>8</v>
      </c>
      <c r="E6" s="8" t="s">
        <v>100</v>
      </c>
      <c r="F6" s="8">
        <v>52</v>
      </c>
      <c r="G6" s="8">
        <v>49</v>
      </c>
      <c r="H6" s="8" t="s">
        <v>101</v>
      </c>
      <c r="I6" s="8">
        <v>75</v>
      </c>
      <c r="J6" s="8">
        <v>76</v>
      </c>
      <c r="K6" s="8">
        <v>72</v>
      </c>
      <c r="L6" s="8">
        <v>56</v>
      </c>
      <c r="M6" s="8">
        <v>55</v>
      </c>
      <c r="N6" s="8">
        <v>54</v>
      </c>
      <c r="O6" s="8">
        <v>63</v>
      </c>
      <c r="P6" s="8">
        <v>75</v>
      </c>
      <c r="Q6" s="8">
        <v>72</v>
      </c>
      <c r="R6" s="8">
        <v>75</v>
      </c>
      <c r="S6" s="8">
        <v>7.04</v>
      </c>
      <c r="T6" s="8" t="s">
        <v>102</v>
      </c>
      <c r="U6" s="8">
        <v>1752</v>
      </c>
      <c r="V6" s="12" t="s">
        <v>90</v>
      </c>
      <c r="W6" s="1">
        <f t="shared" si="0"/>
        <v>62.571428571428569</v>
      </c>
    </row>
    <row r="7" spans="1:23" ht="30" x14ac:dyDescent="0.25">
      <c r="A7" s="5">
        <v>6</v>
      </c>
      <c r="B7" s="5">
        <v>359103</v>
      </c>
      <c r="C7" s="10">
        <v>2022015400230170</v>
      </c>
      <c r="D7" s="7" t="s">
        <v>9</v>
      </c>
      <c r="E7" s="8">
        <v>77</v>
      </c>
      <c r="F7" s="8">
        <v>67</v>
      </c>
      <c r="G7" s="8">
        <v>72</v>
      </c>
      <c r="H7" s="8">
        <v>64</v>
      </c>
      <c r="I7" s="8">
        <v>91</v>
      </c>
      <c r="J7" s="8">
        <v>94</v>
      </c>
      <c r="K7" s="8">
        <v>94</v>
      </c>
      <c r="L7" s="8">
        <v>73</v>
      </c>
      <c r="M7" s="8">
        <v>71</v>
      </c>
      <c r="N7" s="8">
        <v>82</v>
      </c>
      <c r="O7" s="8">
        <v>86</v>
      </c>
      <c r="P7" s="8">
        <v>91</v>
      </c>
      <c r="Q7" s="8">
        <v>91</v>
      </c>
      <c r="R7" s="8">
        <v>93</v>
      </c>
      <c r="S7" s="8">
        <v>9.32</v>
      </c>
      <c r="T7" s="8" t="s">
        <v>103</v>
      </c>
      <c r="U7" s="8">
        <v>2262</v>
      </c>
      <c r="V7" s="8" t="s">
        <v>99</v>
      </c>
      <c r="W7" s="1">
        <f t="shared" si="0"/>
        <v>80.785714285714278</v>
      </c>
    </row>
    <row r="8" spans="1:23" ht="30" x14ac:dyDescent="0.25">
      <c r="A8" s="5">
        <v>7</v>
      </c>
      <c r="B8" s="5">
        <v>359107</v>
      </c>
      <c r="C8" s="10">
        <v>2022015400229850</v>
      </c>
      <c r="D8" s="7" t="s">
        <v>10</v>
      </c>
      <c r="E8" s="8">
        <v>76</v>
      </c>
      <c r="F8" s="8">
        <v>77</v>
      </c>
      <c r="G8" s="8">
        <v>68</v>
      </c>
      <c r="H8" s="8">
        <v>73</v>
      </c>
      <c r="I8" s="8">
        <v>92</v>
      </c>
      <c r="J8" s="8">
        <v>85</v>
      </c>
      <c r="K8" s="8">
        <v>92</v>
      </c>
      <c r="L8" s="8">
        <v>60</v>
      </c>
      <c r="M8" s="8">
        <v>67</v>
      </c>
      <c r="N8" s="8">
        <v>80</v>
      </c>
      <c r="O8" s="8">
        <v>62</v>
      </c>
      <c r="P8" s="8">
        <v>94</v>
      </c>
      <c r="Q8" s="8">
        <v>94</v>
      </c>
      <c r="R8" s="8">
        <v>96</v>
      </c>
      <c r="S8" s="8">
        <v>9.14</v>
      </c>
      <c r="T8" s="8" t="s">
        <v>104</v>
      </c>
      <c r="U8" s="8">
        <v>2238</v>
      </c>
      <c r="V8" s="8" t="s">
        <v>99</v>
      </c>
      <c r="W8" s="1">
        <f t="shared" si="0"/>
        <v>79.928571428571431</v>
      </c>
    </row>
    <row r="9" spans="1:23" ht="30" x14ac:dyDescent="0.25">
      <c r="A9" s="5">
        <v>8</v>
      </c>
      <c r="B9" s="5">
        <v>359108</v>
      </c>
      <c r="C9" s="10">
        <v>2022015400229640</v>
      </c>
      <c r="D9" s="7" t="s">
        <v>11</v>
      </c>
      <c r="E9" s="8">
        <v>66</v>
      </c>
      <c r="F9" s="8">
        <v>63</v>
      </c>
      <c r="G9" s="8">
        <v>58</v>
      </c>
      <c r="H9" s="8">
        <v>65</v>
      </c>
      <c r="I9" s="8">
        <v>87</v>
      </c>
      <c r="J9" s="8">
        <v>79</v>
      </c>
      <c r="K9" s="8">
        <v>82</v>
      </c>
      <c r="L9" s="8">
        <v>63</v>
      </c>
      <c r="M9" s="8">
        <v>59</v>
      </c>
      <c r="N9" s="8">
        <v>78</v>
      </c>
      <c r="O9" s="8">
        <v>84</v>
      </c>
      <c r="P9" s="8">
        <v>82</v>
      </c>
      <c r="Q9" s="8">
        <v>83</v>
      </c>
      <c r="R9" s="8">
        <v>80</v>
      </c>
      <c r="S9" s="8">
        <v>9.18</v>
      </c>
      <c r="T9" s="8" t="s">
        <v>105</v>
      </c>
      <c r="U9" s="8">
        <v>2181</v>
      </c>
      <c r="V9" s="8" t="s">
        <v>99</v>
      </c>
      <c r="W9" s="1">
        <f t="shared" si="0"/>
        <v>77.892857142857139</v>
      </c>
    </row>
    <row r="10" spans="1:23" ht="30" x14ac:dyDescent="0.25">
      <c r="A10" s="5">
        <v>9</v>
      </c>
      <c r="B10" s="5">
        <v>359110</v>
      </c>
      <c r="C10" s="10">
        <v>2022015400229940</v>
      </c>
      <c r="D10" s="7" t="s">
        <v>12</v>
      </c>
      <c r="E10" s="8">
        <v>63</v>
      </c>
      <c r="F10" s="8">
        <v>70</v>
      </c>
      <c r="G10" s="8">
        <v>59</v>
      </c>
      <c r="H10" s="8">
        <v>73</v>
      </c>
      <c r="I10" s="8">
        <v>84</v>
      </c>
      <c r="J10" s="8">
        <v>80</v>
      </c>
      <c r="K10" s="8">
        <v>85</v>
      </c>
      <c r="L10" s="8">
        <v>70</v>
      </c>
      <c r="M10" s="8">
        <v>81</v>
      </c>
      <c r="N10" s="8">
        <v>68</v>
      </c>
      <c r="O10" s="8">
        <v>81</v>
      </c>
      <c r="P10" s="8">
        <v>89</v>
      </c>
      <c r="Q10" s="8">
        <v>90</v>
      </c>
      <c r="R10" s="8">
        <v>93</v>
      </c>
      <c r="S10" s="8">
        <v>9.14</v>
      </c>
      <c r="T10" s="8" t="s">
        <v>106</v>
      </c>
      <c r="U10" s="8">
        <v>2173</v>
      </c>
      <c r="V10" s="8" t="s">
        <v>99</v>
      </c>
      <c r="W10" s="1">
        <f t="shared" si="0"/>
        <v>77.607142857142847</v>
      </c>
    </row>
    <row r="11" spans="1:23" ht="30" x14ac:dyDescent="0.25">
      <c r="A11" s="5">
        <v>10</v>
      </c>
      <c r="B11" s="5">
        <v>359112</v>
      </c>
      <c r="C11" s="10">
        <v>2022015400229740</v>
      </c>
      <c r="D11" s="7" t="s">
        <v>13</v>
      </c>
      <c r="E11" s="8">
        <v>66</v>
      </c>
      <c r="F11" s="8">
        <v>56</v>
      </c>
      <c r="G11" s="8">
        <v>59</v>
      </c>
      <c r="H11" s="8">
        <v>63</v>
      </c>
      <c r="I11" s="8">
        <v>87</v>
      </c>
      <c r="J11" s="8">
        <v>82</v>
      </c>
      <c r="K11" s="8">
        <v>82</v>
      </c>
      <c r="L11" s="8">
        <v>66</v>
      </c>
      <c r="M11" s="8">
        <v>58</v>
      </c>
      <c r="N11" s="8">
        <v>64</v>
      </c>
      <c r="O11" s="8">
        <v>71</v>
      </c>
      <c r="P11" s="8">
        <v>82</v>
      </c>
      <c r="Q11" s="8">
        <v>85</v>
      </c>
      <c r="R11" s="8">
        <v>84</v>
      </c>
      <c r="S11" s="8">
        <v>8.7899999999999991</v>
      </c>
      <c r="T11" s="8" t="s">
        <v>107</v>
      </c>
      <c r="U11" s="8">
        <v>2036</v>
      </c>
      <c r="V11" s="8" t="s">
        <v>99</v>
      </c>
      <c r="W11" s="1">
        <f t="shared" si="0"/>
        <v>72.714285714285708</v>
      </c>
    </row>
    <row r="12" spans="1:23" ht="30" x14ac:dyDescent="0.25">
      <c r="A12" s="5">
        <v>11</v>
      </c>
      <c r="B12" s="5">
        <v>359114</v>
      </c>
      <c r="C12" s="10">
        <v>2022015400230150</v>
      </c>
      <c r="D12" s="7" t="s">
        <v>14</v>
      </c>
      <c r="E12" s="8">
        <v>60</v>
      </c>
      <c r="F12" s="11" t="s">
        <v>93</v>
      </c>
      <c r="G12" s="8">
        <v>60</v>
      </c>
      <c r="H12" s="8">
        <v>52</v>
      </c>
      <c r="I12" s="8">
        <v>87</v>
      </c>
      <c r="J12" s="8">
        <v>80</v>
      </c>
      <c r="K12" s="8">
        <v>82</v>
      </c>
      <c r="L12" s="8" t="s">
        <v>108</v>
      </c>
      <c r="M12" s="8" t="s">
        <v>109</v>
      </c>
      <c r="N12" s="8">
        <v>82</v>
      </c>
      <c r="O12" s="8">
        <v>67</v>
      </c>
      <c r="P12" s="8">
        <v>84</v>
      </c>
      <c r="Q12" s="8">
        <v>83</v>
      </c>
      <c r="R12" s="8">
        <v>83</v>
      </c>
      <c r="S12" s="8">
        <v>7.14</v>
      </c>
      <c r="T12" s="8" t="s">
        <v>110</v>
      </c>
      <c r="U12" s="8">
        <v>1884</v>
      </c>
      <c r="V12" s="8" t="s">
        <v>90</v>
      </c>
      <c r="W12" s="1">
        <f t="shared" si="0"/>
        <v>67.285714285714278</v>
      </c>
    </row>
    <row r="13" spans="1:23" ht="30" x14ac:dyDescent="0.25">
      <c r="A13" s="5">
        <v>12</v>
      </c>
      <c r="B13" s="5">
        <v>359115</v>
      </c>
      <c r="C13" s="10">
        <v>2022015400230250</v>
      </c>
      <c r="D13" s="7" t="s">
        <v>15</v>
      </c>
      <c r="E13" s="8">
        <v>64</v>
      </c>
      <c r="F13" s="8">
        <v>64</v>
      </c>
      <c r="G13" s="8">
        <v>52</v>
      </c>
      <c r="H13" s="8">
        <v>56</v>
      </c>
      <c r="I13" s="8">
        <v>82</v>
      </c>
      <c r="J13" s="8">
        <v>76</v>
      </c>
      <c r="K13" s="8">
        <v>72</v>
      </c>
      <c r="L13" s="8">
        <v>65</v>
      </c>
      <c r="M13" s="11" t="s">
        <v>111</v>
      </c>
      <c r="N13" s="8" t="s">
        <v>112</v>
      </c>
      <c r="O13" s="8">
        <v>65</v>
      </c>
      <c r="P13" s="8">
        <v>77</v>
      </c>
      <c r="Q13" s="8">
        <v>75</v>
      </c>
      <c r="R13" s="8">
        <v>80</v>
      </c>
      <c r="S13" s="8">
        <v>7.96</v>
      </c>
      <c r="T13" s="8" t="s">
        <v>113</v>
      </c>
      <c r="U13" s="8">
        <v>1895</v>
      </c>
      <c r="V13" s="8" t="s">
        <v>90</v>
      </c>
      <c r="W13" s="1">
        <f t="shared" si="0"/>
        <v>67.678571428571431</v>
      </c>
    </row>
    <row r="14" spans="1:23" ht="30" x14ac:dyDescent="0.25">
      <c r="A14" s="5">
        <v>13</v>
      </c>
      <c r="B14" s="5">
        <v>359117</v>
      </c>
      <c r="C14" s="10">
        <v>2022015400229830</v>
      </c>
      <c r="D14" s="7" t="s">
        <v>16</v>
      </c>
      <c r="E14" s="8">
        <v>61</v>
      </c>
      <c r="F14" s="8">
        <v>48</v>
      </c>
      <c r="G14" s="11" t="s">
        <v>114</v>
      </c>
      <c r="H14" s="8" t="s">
        <v>115</v>
      </c>
      <c r="I14" s="8">
        <v>72</v>
      </c>
      <c r="J14" s="8">
        <v>72</v>
      </c>
      <c r="K14" s="8">
        <v>75</v>
      </c>
      <c r="L14" s="8" t="s">
        <v>116</v>
      </c>
      <c r="M14" s="8">
        <v>71</v>
      </c>
      <c r="N14" s="8" t="s">
        <v>108</v>
      </c>
      <c r="O14" s="8">
        <v>62</v>
      </c>
      <c r="P14" s="8">
        <v>84</v>
      </c>
      <c r="Q14" s="8">
        <v>81</v>
      </c>
      <c r="R14" s="8">
        <v>82</v>
      </c>
      <c r="S14" s="8">
        <v>6.89</v>
      </c>
      <c r="T14" s="8" t="s">
        <v>117</v>
      </c>
      <c r="U14" s="8">
        <v>1795</v>
      </c>
      <c r="V14" s="8" t="s">
        <v>90</v>
      </c>
      <c r="W14" s="1">
        <f t="shared" si="0"/>
        <v>64.107142857142861</v>
      </c>
    </row>
    <row r="15" spans="1:23" ht="30" x14ac:dyDescent="0.25">
      <c r="A15" s="5">
        <v>14</v>
      </c>
      <c r="B15" s="5">
        <v>359119</v>
      </c>
      <c r="C15" s="10">
        <v>2022015400230200</v>
      </c>
      <c r="D15" s="7" t="s">
        <v>17</v>
      </c>
      <c r="E15" s="8" t="s">
        <v>118</v>
      </c>
      <c r="F15" s="8">
        <v>47</v>
      </c>
      <c r="G15" s="8">
        <v>50</v>
      </c>
      <c r="H15" s="8">
        <v>53</v>
      </c>
      <c r="I15" s="8">
        <v>73</v>
      </c>
      <c r="J15" s="8">
        <v>74</v>
      </c>
      <c r="K15" s="8">
        <v>75</v>
      </c>
      <c r="L15" s="8" t="s">
        <v>94</v>
      </c>
      <c r="M15" s="8" t="s">
        <v>119</v>
      </c>
      <c r="N15" s="8">
        <v>68</v>
      </c>
      <c r="O15" s="8" t="s">
        <v>119</v>
      </c>
      <c r="P15" s="8">
        <v>76</v>
      </c>
      <c r="Q15" s="8">
        <v>77</v>
      </c>
      <c r="R15" s="8">
        <v>76</v>
      </c>
      <c r="S15" s="8">
        <v>6.5</v>
      </c>
      <c r="T15" s="8" t="s">
        <v>120</v>
      </c>
      <c r="U15" s="8">
        <v>1727</v>
      </c>
      <c r="V15" s="8" t="s">
        <v>90</v>
      </c>
      <c r="W15" s="1">
        <f t="shared" si="0"/>
        <v>61.678571428571431</v>
      </c>
    </row>
    <row r="16" spans="1:23" ht="30" x14ac:dyDescent="0.25">
      <c r="A16" s="5">
        <v>15</v>
      </c>
      <c r="B16" s="5">
        <v>359121</v>
      </c>
      <c r="C16" s="10">
        <v>2022015400229760</v>
      </c>
      <c r="D16" s="7" t="s">
        <v>18</v>
      </c>
      <c r="E16" s="8">
        <v>55</v>
      </c>
      <c r="F16" s="8">
        <v>51</v>
      </c>
      <c r="G16" s="8" t="s">
        <v>92</v>
      </c>
      <c r="H16" s="8">
        <v>53</v>
      </c>
      <c r="I16" s="8">
        <v>78</v>
      </c>
      <c r="J16" s="8">
        <v>77</v>
      </c>
      <c r="K16" s="8">
        <v>78</v>
      </c>
      <c r="L16" s="8">
        <v>57</v>
      </c>
      <c r="M16" s="8">
        <v>60</v>
      </c>
      <c r="N16" s="8">
        <v>65</v>
      </c>
      <c r="O16" s="8" t="s">
        <v>121</v>
      </c>
      <c r="P16" s="8">
        <v>86</v>
      </c>
      <c r="Q16" s="8">
        <v>84</v>
      </c>
      <c r="R16" s="8">
        <v>83</v>
      </c>
      <c r="S16" s="8">
        <v>7.75</v>
      </c>
      <c r="T16" s="8" t="s">
        <v>122</v>
      </c>
      <c r="U16" s="8">
        <v>1885</v>
      </c>
      <c r="V16" s="8" t="s">
        <v>90</v>
      </c>
      <c r="W16" s="1">
        <f t="shared" si="0"/>
        <v>67.321428571428584</v>
      </c>
    </row>
    <row r="17" spans="1:23" ht="30" x14ac:dyDescent="0.25">
      <c r="A17" s="5">
        <v>16</v>
      </c>
      <c r="B17" s="5">
        <v>359122</v>
      </c>
      <c r="C17" s="10">
        <v>2022015400326220</v>
      </c>
      <c r="D17" s="7" t="s">
        <v>19</v>
      </c>
      <c r="E17" s="8">
        <v>79</v>
      </c>
      <c r="F17" s="8">
        <v>82</v>
      </c>
      <c r="G17" s="8">
        <v>74</v>
      </c>
      <c r="H17" s="8">
        <v>67</v>
      </c>
      <c r="I17" s="8">
        <v>92</v>
      </c>
      <c r="J17" s="8">
        <v>93</v>
      </c>
      <c r="K17" s="8">
        <v>89</v>
      </c>
      <c r="L17" s="8">
        <v>74</v>
      </c>
      <c r="M17" s="8">
        <v>66</v>
      </c>
      <c r="N17" s="8">
        <v>74</v>
      </c>
      <c r="O17" s="8">
        <v>63</v>
      </c>
      <c r="P17" s="8">
        <v>92</v>
      </c>
      <c r="Q17" s="8">
        <v>93</v>
      </c>
      <c r="R17" s="8">
        <v>94</v>
      </c>
      <c r="S17" s="8">
        <v>9.18</v>
      </c>
      <c r="T17" s="8" t="s">
        <v>123</v>
      </c>
      <c r="U17" s="8">
        <v>2187</v>
      </c>
      <c r="V17" s="8" t="s">
        <v>99</v>
      </c>
      <c r="W17" s="1">
        <f t="shared" si="0"/>
        <v>78.107142857142847</v>
      </c>
    </row>
    <row r="18" spans="1:23" ht="15.75" x14ac:dyDescent="0.25">
      <c r="A18" s="5">
        <v>17</v>
      </c>
      <c r="B18" s="5">
        <v>359124</v>
      </c>
      <c r="C18" s="10">
        <v>2022015400281250</v>
      </c>
      <c r="D18" s="7" t="s">
        <v>20</v>
      </c>
      <c r="E18" s="8">
        <v>77</v>
      </c>
      <c r="F18" s="8">
        <v>73</v>
      </c>
      <c r="G18" s="8">
        <v>83</v>
      </c>
      <c r="H18" s="8">
        <v>82</v>
      </c>
      <c r="I18" s="8">
        <v>95</v>
      </c>
      <c r="J18" s="8">
        <v>95</v>
      </c>
      <c r="K18" s="8">
        <v>97</v>
      </c>
      <c r="L18" s="8">
        <v>84</v>
      </c>
      <c r="M18" s="8">
        <v>74</v>
      </c>
      <c r="N18" s="8">
        <v>84</v>
      </c>
      <c r="O18" s="8">
        <v>91</v>
      </c>
      <c r="P18" s="8">
        <v>98</v>
      </c>
      <c r="Q18" s="8">
        <v>97</v>
      </c>
      <c r="R18" s="8">
        <v>98</v>
      </c>
      <c r="S18" s="8" t="s">
        <v>124</v>
      </c>
      <c r="T18" s="8" t="s">
        <v>125</v>
      </c>
      <c r="U18" s="8">
        <v>2416</v>
      </c>
      <c r="V18" s="8" t="s">
        <v>99</v>
      </c>
      <c r="W18" s="1">
        <f t="shared" si="0"/>
        <v>86.285714285714292</v>
      </c>
    </row>
    <row r="19" spans="1:23" ht="30" x14ac:dyDescent="0.25">
      <c r="A19" s="5">
        <v>18</v>
      </c>
      <c r="B19" s="5">
        <v>359125</v>
      </c>
      <c r="C19" s="10">
        <v>2022015400230140</v>
      </c>
      <c r="D19" s="7" t="s">
        <v>21</v>
      </c>
      <c r="E19" s="8">
        <v>76</v>
      </c>
      <c r="F19" s="8">
        <v>63</v>
      </c>
      <c r="G19" s="8">
        <v>77</v>
      </c>
      <c r="H19" s="8">
        <v>65</v>
      </c>
      <c r="I19" s="8">
        <v>93</v>
      </c>
      <c r="J19" s="8">
        <v>92</v>
      </c>
      <c r="K19" s="8">
        <v>95</v>
      </c>
      <c r="L19" s="8">
        <v>77</v>
      </c>
      <c r="M19" s="8">
        <v>65</v>
      </c>
      <c r="N19" s="8">
        <v>77</v>
      </c>
      <c r="O19" s="8">
        <v>81</v>
      </c>
      <c r="P19" s="8">
        <v>94</v>
      </c>
      <c r="Q19" s="8">
        <v>96</v>
      </c>
      <c r="R19" s="8">
        <v>96</v>
      </c>
      <c r="S19" s="8">
        <v>9.32</v>
      </c>
      <c r="T19" s="8" t="s">
        <v>126</v>
      </c>
      <c r="U19" s="8">
        <v>2311</v>
      </c>
      <c r="V19" s="8" t="s">
        <v>99</v>
      </c>
      <c r="W19" s="1">
        <f t="shared" si="0"/>
        <v>82.535714285714292</v>
      </c>
    </row>
    <row r="20" spans="1:23" ht="30" x14ac:dyDescent="0.25">
      <c r="A20" s="5">
        <v>19</v>
      </c>
      <c r="B20" s="5">
        <v>359132</v>
      </c>
      <c r="C20" s="10">
        <v>2022015400229720</v>
      </c>
      <c r="D20" s="7" t="s">
        <v>22</v>
      </c>
      <c r="E20" s="8">
        <v>63</v>
      </c>
      <c r="F20" s="8">
        <v>68</v>
      </c>
      <c r="G20" s="8">
        <v>64</v>
      </c>
      <c r="H20" s="8">
        <v>73</v>
      </c>
      <c r="I20" s="8">
        <v>93</v>
      </c>
      <c r="J20" s="8">
        <v>78</v>
      </c>
      <c r="K20" s="8">
        <v>92</v>
      </c>
      <c r="L20" s="8">
        <v>70</v>
      </c>
      <c r="M20" s="8">
        <v>69</v>
      </c>
      <c r="N20" s="8">
        <v>77</v>
      </c>
      <c r="O20" s="8">
        <v>91</v>
      </c>
      <c r="P20" s="8">
        <v>94</v>
      </c>
      <c r="Q20" s="8">
        <v>93</v>
      </c>
      <c r="R20" s="8">
        <v>95</v>
      </c>
      <c r="S20" s="8">
        <v>8.86</v>
      </c>
      <c r="T20" s="8" t="s">
        <v>127</v>
      </c>
      <c r="U20" s="8">
        <v>2139</v>
      </c>
      <c r="V20" s="8" t="s">
        <v>99</v>
      </c>
      <c r="W20" s="1">
        <f t="shared" si="0"/>
        <v>76.392857142857139</v>
      </c>
    </row>
    <row r="21" spans="1:23" ht="30" x14ac:dyDescent="0.25">
      <c r="A21" s="5">
        <v>20</v>
      </c>
      <c r="B21" s="5">
        <v>359133</v>
      </c>
      <c r="C21" s="10">
        <v>2022015400229710</v>
      </c>
      <c r="D21" s="7" t="s">
        <v>23</v>
      </c>
      <c r="E21" s="8">
        <v>73</v>
      </c>
      <c r="F21" s="8">
        <v>83</v>
      </c>
      <c r="G21" s="8">
        <v>73</v>
      </c>
      <c r="H21" s="8">
        <v>75</v>
      </c>
      <c r="I21" s="8">
        <v>90</v>
      </c>
      <c r="J21" s="8">
        <v>81</v>
      </c>
      <c r="K21" s="8">
        <v>90</v>
      </c>
      <c r="L21" s="8">
        <v>84</v>
      </c>
      <c r="M21" s="8">
        <v>74</v>
      </c>
      <c r="N21" s="9">
        <v>84</v>
      </c>
      <c r="O21" s="8">
        <v>86</v>
      </c>
      <c r="P21" s="8">
        <v>94</v>
      </c>
      <c r="Q21" s="8">
        <v>94</v>
      </c>
      <c r="R21" s="8">
        <v>92</v>
      </c>
      <c r="S21" s="8">
        <v>9.2899999999999991</v>
      </c>
      <c r="T21" s="8" t="s">
        <v>128</v>
      </c>
      <c r="U21" s="8">
        <v>2220</v>
      </c>
      <c r="V21" s="8" t="s">
        <v>99</v>
      </c>
      <c r="W21" s="1">
        <f t="shared" si="0"/>
        <v>79.285714285714278</v>
      </c>
    </row>
    <row r="22" spans="1:23" ht="15.75" x14ac:dyDescent="0.25">
      <c r="A22" s="5">
        <v>21</v>
      </c>
      <c r="B22" s="5">
        <v>359135</v>
      </c>
      <c r="C22" s="10">
        <v>2022015400229530</v>
      </c>
      <c r="D22" s="7" t="s">
        <v>24</v>
      </c>
      <c r="E22" s="8">
        <v>67</v>
      </c>
      <c r="F22" s="8">
        <v>67</v>
      </c>
      <c r="G22" s="8">
        <v>80</v>
      </c>
      <c r="H22" s="8">
        <v>60</v>
      </c>
      <c r="I22" s="8">
        <v>85</v>
      </c>
      <c r="J22" s="8">
        <v>81</v>
      </c>
      <c r="K22" s="8">
        <v>89</v>
      </c>
      <c r="L22" s="8">
        <v>69</v>
      </c>
      <c r="M22" s="8" t="s">
        <v>93</v>
      </c>
      <c r="N22" s="8">
        <v>77</v>
      </c>
      <c r="O22" s="8">
        <v>67</v>
      </c>
      <c r="P22" s="8">
        <v>84</v>
      </c>
      <c r="Q22" s="8">
        <v>86</v>
      </c>
      <c r="R22" s="8">
        <v>87</v>
      </c>
      <c r="S22" s="8">
        <v>8.82</v>
      </c>
      <c r="T22" s="8" t="s">
        <v>129</v>
      </c>
      <c r="U22" s="8">
        <v>2099</v>
      </c>
      <c r="V22" s="8" t="s">
        <v>90</v>
      </c>
      <c r="W22" s="1">
        <f t="shared" si="0"/>
        <v>74.964285714285722</v>
      </c>
    </row>
    <row r="23" spans="1:23" ht="15.75" x14ac:dyDescent="0.25">
      <c r="A23" s="5">
        <v>22</v>
      </c>
      <c r="B23" s="5">
        <v>359139</v>
      </c>
      <c r="C23" s="10">
        <v>2022015400229630</v>
      </c>
      <c r="D23" s="7" t="s">
        <v>25</v>
      </c>
      <c r="E23" s="8">
        <v>84</v>
      </c>
      <c r="F23" s="8">
        <v>75</v>
      </c>
      <c r="G23" s="8">
        <v>73</v>
      </c>
      <c r="H23" s="8">
        <v>84</v>
      </c>
      <c r="I23" s="8">
        <v>96</v>
      </c>
      <c r="J23" s="8">
        <v>86</v>
      </c>
      <c r="K23" s="8">
        <v>94</v>
      </c>
      <c r="L23" s="8">
        <v>76</v>
      </c>
      <c r="M23" s="8">
        <v>62</v>
      </c>
      <c r="N23" s="8">
        <v>73</v>
      </c>
      <c r="O23" s="8">
        <v>90</v>
      </c>
      <c r="P23" s="8">
        <v>96</v>
      </c>
      <c r="Q23" s="8">
        <v>98</v>
      </c>
      <c r="R23" s="8">
        <v>96</v>
      </c>
      <c r="S23" s="8">
        <v>9.68</v>
      </c>
      <c r="T23" s="8" t="s">
        <v>130</v>
      </c>
      <c r="U23" s="8">
        <v>2423</v>
      </c>
      <c r="V23" s="8" t="s">
        <v>99</v>
      </c>
      <c r="W23" s="1">
        <f t="shared" si="0"/>
        <v>86.535714285714278</v>
      </c>
    </row>
    <row r="24" spans="1:23" ht="30" x14ac:dyDescent="0.25">
      <c r="A24" s="5">
        <v>23</v>
      </c>
      <c r="B24" s="5">
        <v>359142</v>
      </c>
      <c r="C24" s="10">
        <v>2022015400230130</v>
      </c>
      <c r="D24" s="7" t="s">
        <v>26</v>
      </c>
      <c r="E24" s="8">
        <v>59</v>
      </c>
      <c r="F24" s="8">
        <v>70</v>
      </c>
      <c r="G24" s="8">
        <v>63</v>
      </c>
      <c r="H24" s="8">
        <v>76</v>
      </c>
      <c r="I24" s="8">
        <v>91</v>
      </c>
      <c r="J24" s="8">
        <v>84</v>
      </c>
      <c r="K24" s="8">
        <v>93</v>
      </c>
      <c r="L24" s="8">
        <v>71</v>
      </c>
      <c r="M24" s="8">
        <v>63</v>
      </c>
      <c r="N24" s="8">
        <v>81</v>
      </c>
      <c r="O24" s="8">
        <v>73</v>
      </c>
      <c r="P24" s="8">
        <v>92</v>
      </c>
      <c r="Q24" s="8">
        <v>94</v>
      </c>
      <c r="R24" s="8">
        <v>93</v>
      </c>
      <c r="S24" s="8">
        <v>9.07</v>
      </c>
      <c r="T24" s="8" t="s">
        <v>131</v>
      </c>
      <c r="U24" s="8">
        <v>2190</v>
      </c>
      <c r="V24" s="8" t="s">
        <v>99</v>
      </c>
      <c r="W24" s="1">
        <f t="shared" si="0"/>
        <v>78.214285714285708</v>
      </c>
    </row>
    <row r="25" spans="1:23" ht="30" x14ac:dyDescent="0.25">
      <c r="A25" s="5">
        <v>24</v>
      </c>
      <c r="B25" s="5">
        <v>359148</v>
      </c>
      <c r="C25" s="10">
        <v>2022015400230020</v>
      </c>
      <c r="D25" s="7" t="s">
        <v>27</v>
      </c>
      <c r="E25" s="8">
        <v>66</v>
      </c>
      <c r="F25" s="8">
        <v>52</v>
      </c>
      <c r="G25" s="8">
        <v>51</v>
      </c>
      <c r="H25" s="8">
        <v>74</v>
      </c>
      <c r="I25" s="8">
        <v>83</v>
      </c>
      <c r="J25" s="8">
        <v>77</v>
      </c>
      <c r="K25" s="8">
        <v>85</v>
      </c>
      <c r="L25" s="8">
        <v>73</v>
      </c>
      <c r="M25" s="8">
        <v>73</v>
      </c>
      <c r="N25" s="8">
        <v>76</v>
      </c>
      <c r="O25" s="8">
        <v>75</v>
      </c>
      <c r="P25" s="8">
        <v>84</v>
      </c>
      <c r="Q25" s="8">
        <v>83</v>
      </c>
      <c r="R25" s="8">
        <v>86</v>
      </c>
      <c r="S25" s="8" t="s">
        <v>132</v>
      </c>
      <c r="T25" s="8" t="s">
        <v>133</v>
      </c>
      <c r="U25" s="8">
        <v>2043</v>
      </c>
      <c r="V25" s="8" t="s">
        <v>99</v>
      </c>
      <c r="W25" s="1">
        <f t="shared" si="0"/>
        <v>72.964285714285708</v>
      </c>
    </row>
    <row r="26" spans="1:23" ht="30" x14ac:dyDescent="0.25">
      <c r="A26" s="5">
        <v>25</v>
      </c>
      <c r="B26" s="5">
        <v>359151</v>
      </c>
      <c r="C26" s="10">
        <v>2022015400229750</v>
      </c>
      <c r="D26" s="7" t="s">
        <v>28</v>
      </c>
      <c r="E26" s="8">
        <v>40</v>
      </c>
      <c r="F26" s="8">
        <v>29</v>
      </c>
      <c r="G26" s="8">
        <v>30</v>
      </c>
      <c r="H26" s="8" t="s">
        <v>134</v>
      </c>
      <c r="I26" s="8">
        <v>52</v>
      </c>
      <c r="J26" s="8">
        <v>42</v>
      </c>
      <c r="K26" s="8">
        <v>50</v>
      </c>
      <c r="L26" s="8">
        <v>24</v>
      </c>
      <c r="M26" s="8" t="s">
        <v>135</v>
      </c>
      <c r="N26" s="11" t="s">
        <v>136</v>
      </c>
      <c r="O26" s="8">
        <v>18</v>
      </c>
      <c r="P26" s="8">
        <v>52</v>
      </c>
      <c r="Q26" s="8">
        <v>50</v>
      </c>
      <c r="R26" s="8">
        <v>51</v>
      </c>
      <c r="S26" s="8">
        <v>6.96</v>
      </c>
      <c r="T26" s="8" t="s">
        <v>137</v>
      </c>
      <c r="U26" s="8">
        <v>1846</v>
      </c>
      <c r="V26" s="8" t="s">
        <v>90</v>
      </c>
      <c r="W26" s="1">
        <f t="shared" si="0"/>
        <v>65.928571428571431</v>
      </c>
    </row>
    <row r="27" spans="1:23" ht="30" x14ac:dyDescent="0.25">
      <c r="A27" s="5">
        <v>26</v>
      </c>
      <c r="B27" s="5">
        <v>359155</v>
      </c>
      <c r="C27" s="10">
        <v>2022015400229510</v>
      </c>
      <c r="D27" s="7" t="s">
        <v>29</v>
      </c>
      <c r="E27" s="8">
        <v>55</v>
      </c>
      <c r="F27" s="8">
        <v>62</v>
      </c>
      <c r="G27" s="8">
        <v>64</v>
      </c>
      <c r="H27" s="8">
        <v>62</v>
      </c>
      <c r="I27" s="8">
        <v>79</v>
      </c>
      <c r="J27" s="8">
        <v>80</v>
      </c>
      <c r="K27" s="8">
        <v>78</v>
      </c>
      <c r="L27" s="8">
        <v>72</v>
      </c>
      <c r="M27" s="8">
        <v>61</v>
      </c>
      <c r="N27" s="8">
        <v>68</v>
      </c>
      <c r="O27" s="8">
        <v>61</v>
      </c>
      <c r="P27" s="8">
        <v>86</v>
      </c>
      <c r="Q27" s="8">
        <v>89</v>
      </c>
      <c r="R27" s="8">
        <v>87</v>
      </c>
      <c r="S27" s="8">
        <v>8.2899999999999991</v>
      </c>
      <c r="T27" s="8" t="s">
        <v>138</v>
      </c>
      <c r="U27" s="8">
        <v>1924</v>
      </c>
      <c r="V27" s="8" t="s">
        <v>99</v>
      </c>
      <c r="W27" s="1">
        <f t="shared" si="0"/>
        <v>68.714285714285722</v>
      </c>
    </row>
    <row r="28" spans="1:23" ht="30" x14ac:dyDescent="0.25">
      <c r="A28" s="5">
        <v>27</v>
      </c>
      <c r="B28" s="5">
        <v>359157</v>
      </c>
      <c r="C28" s="10">
        <v>2022015400230040</v>
      </c>
      <c r="D28" s="7" t="s">
        <v>30</v>
      </c>
      <c r="E28" s="8">
        <v>66</v>
      </c>
      <c r="F28" s="8">
        <v>60</v>
      </c>
      <c r="G28" s="8">
        <v>56</v>
      </c>
      <c r="H28" s="8">
        <v>65</v>
      </c>
      <c r="I28" s="8">
        <v>86</v>
      </c>
      <c r="J28" s="8">
        <v>77</v>
      </c>
      <c r="K28" s="8">
        <v>83</v>
      </c>
      <c r="L28" s="8">
        <v>74</v>
      </c>
      <c r="M28" s="8">
        <v>59</v>
      </c>
      <c r="N28" s="8">
        <v>68</v>
      </c>
      <c r="O28" s="8">
        <v>61</v>
      </c>
      <c r="P28" s="8">
        <v>89</v>
      </c>
      <c r="Q28" s="8">
        <v>86</v>
      </c>
      <c r="R28" s="8">
        <v>89</v>
      </c>
      <c r="S28" s="8">
        <v>8.5399999999999991</v>
      </c>
      <c r="T28" s="8" t="s">
        <v>139</v>
      </c>
      <c r="U28" s="8">
        <v>2007</v>
      </c>
      <c r="V28" s="8" t="s">
        <v>99</v>
      </c>
      <c r="W28" s="1">
        <f t="shared" si="0"/>
        <v>71.678571428571431</v>
      </c>
    </row>
    <row r="29" spans="1:23" ht="15.75" x14ac:dyDescent="0.25">
      <c r="A29" s="5">
        <v>28</v>
      </c>
      <c r="B29" s="5">
        <v>359158</v>
      </c>
      <c r="C29" s="10">
        <v>2022015400229860</v>
      </c>
      <c r="D29" s="7" t="s">
        <v>31</v>
      </c>
      <c r="E29" s="8">
        <v>63</v>
      </c>
      <c r="F29" s="8" t="s">
        <v>140</v>
      </c>
      <c r="G29" s="8">
        <v>48</v>
      </c>
      <c r="H29" s="8" t="s">
        <v>87</v>
      </c>
      <c r="I29" s="8">
        <v>81</v>
      </c>
      <c r="J29" s="8">
        <v>77</v>
      </c>
      <c r="K29" s="8">
        <v>80</v>
      </c>
      <c r="L29" s="8">
        <v>54</v>
      </c>
      <c r="M29" s="8">
        <v>54</v>
      </c>
      <c r="N29" s="8">
        <v>70</v>
      </c>
      <c r="O29" s="8">
        <v>64</v>
      </c>
      <c r="P29" s="8">
        <v>76</v>
      </c>
      <c r="Q29" s="8">
        <v>79</v>
      </c>
      <c r="R29" s="8">
        <v>78</v>
      </c>
      <c r="S29" s="8">
        <v>7.64</v>
      </c>
      <c r="T29" s="8" t="s">
        <v>141</v>
      </c>
      <c r="U29" s="8">
        <v>1859</v>
      </c>
      <c r="V29" s="8" t="s">
        <v>90</v>
      </c>
      <c r="W29" s="1">
        <f t="shared" si="0"/>
        <v>66.392857142857139</v>
      </c>
    </row>
    <row r="30" spans="1:23" ht="30" x14ac:dyDescent="0.25">
      <c r="A30" s="5">
        <v>29</v>
      </c>
      <c r="B30" s="5">
        <v>359159</v>
      </c>
      <c r="C30" s="10">
        <v>2022015400229930</v>
      </c>
      <c r="D30" s="7" t="s">
        <v>32</v>
      </c>
      <c r="E30" s="8">
        <v>60</v>
      </c>
      <c r="F30" s="8" t="s">
        <v>88</v>
      </c>
      <c r="G30" s="8">
        <v>49</v>
      </c>
      <c r="H30" s="8" t="s">
        <v>88</v>
      </c>
      <c r="I30" s="8">
        <v>77</v>
      </c>
      <c r="J30" s="8">
        <v>73</v>
      </c>
      <c r="K30" s="8">
        <v>80</v>
      </c>
      <c r="L30" s="8">
        <v>54</v>
      </c>
      <c r="M30" s="8" t="s">
        <v>142</v>
      </c>
      <c r="N30" s="8">
        <v>59</v>
      </c>
      <c r="O30" s="8">
        <v>56</v>
      </c>
      <c r="P30" s="8">
        <v>75</v>
      </c>
      <c r="Q30" s="8">
        <v>74</v>
      </c>
      <c r="R30" s="8">
        <v>76</v>
      </c>
      <c r="S30" s="8">
        <v>6.93</v>
      </c>
      <c r="T30" s="8" t="s">
        <v>143</v>
      </c>
      <c r="U30" s="8">
        <v>1782</v>
      </c>
      <c r="V30" s="8" t="s">
        <v>90</v>
      </c>
      <c r="W30" s="1">
        <f t="shared" si="0"/>
        <v>63.642857142857146</v>
      </c>
    </row>
    <row r="31" spans="1:23" ht="30" x14ac:dyDescent="0.25">
      <c r="A31" s="5">
        <v>30</v>
      </c>
      <c r="B31" s="5">
        <v>359163</v>
      </c>
      <c r="C31" s="10">
        <v>2022015400230050</v>
      </c>
      <c r="D31" s="7" t="s">
        <v>33</v>
      </c>
      <c r="E31" s="8">
        <v>69</v>
      </c>
      <c r="F31" s="8">
        <v>56</v>
      </c>
      <c r="G31" s="8">
        <v>63</v>
      </c>
      <c r="H31" s="8">
        <v>58</v>
      </c>
      <c r="I31" s="8">
        <v>83</v>
      </c>
      <c r="J31" s="8">
        <v>80</v>
      </c>
      <c r="K31" s="8">
        <v>86</v>
      </c>
      <c r="L31" s="8">
        <v>74</v>
      </c>
      <c r="M31" s="8">
        <v>65</v>
      </c>
      <c r="N31" s="8">
        <v>72</v>
      </c>
      <c r="O31" s="8">
        <v>68</v>
      </c>
      <c r="P31" s="8">
        <v>84</v>
      </c>
      <c r="Q31" s="8">
        <v>79</v>
      </c>
      <c r="R31" s="8">
        <v>81</v>
      </c>
      <c r="S31" s="8">
        <v>8.39</v>
      </c>
      <c r="T31" s="8" t="s">
        <v>144</v>
      </c>
      <c r="U31" s="8">
        <v>1949</v>
      </c>
      <c r="V31" s="8" t="s">
        <v>99</v>
      </c>
      <c r="W31" s="1">
        <f t="shared" si="0"/>
        <v>69.607142857142861</v>
      </c>
    </row>
    <row r="32" spans="1:23" ht="30" x14ac:dyDescent="0.25">
      <c r="A32" s="5">
        <v>31</v>
      </c>
      <c r="B32" s="5">
        <v>359166</v>
      </c>
      <c r="C32" s="10">
        <v>2022015400229900</v>
      </c>
      <c r="D32" s="7" t="s">
        <v>34</v>
      </c>
      <c r="E32" s="8">
        <v>68</v>
      </c>
      <c r="F32" s="8">
        <v>52</v>
      </c>
      <c r="G32" s="8">
        <v>58</v>
      </c>
      <c r="H32" s="8">
        <v>58</v>
      </c>
      <c r="I32" s="8">
        <v>87</v>
      </c>
      <c r="J32" s="8">
        <v>77</v>
      </c>
      <c r="K32" s="8">
        <v>82</v>
      </c>
      <c r="L32" s="8" t="s">
        <v>109</v>
      </c>
      <c r="M32" s="8" t="s">
        <v>121</v>
      </c>
      <c r="N32" s="8">
        <v>76</v>
      </c>
      <c r="O32" s="8">
        <v>71</v>
      </c>
      <c r="P32" s="8">
        <v>89</v>
      </c>
      <c r="Q32" s="8">
        <v>87</v>
      </c>
      <c r="R32" s="8">
        <v>87</v>
      </c>
      <c r="S32" s="8"/>
      <c r="T32" s="8" t="s">
        <v>145</v>
      </c>
      <c r="U32" s="8">
        <v>8.14</v>
      </c>
      <c r="V32" s="8" t="s">
        <v>90</v>
      </c>
      <c r="W32" s="1">
        <f t="shared" si="0"/>
        <v>0.2907142857142857</v>
      </c>
    </row>
    <row r="33" spans="1:23" ht="15.75" x14ac:dyDescent="0.25">
      <c r="A33" s="5">
        <v>32</v>
      </c>
      <c r="B33" s="5">
        <v>359167</v>
      </c>
      <c r="C33" s="10">
        <v>2022015400230180</v>
      </c>
      <c r="D33" s="7" t="s">
        <v>35</v>
      </c>
      <c r="E33" s="8">
        <v>75</v>
      </c>
      <c r="F33" s="8">
        <v>61</v>
      </c>
      <c r="G33" s="8">
        <v>62</v>
      </c>
      <c r="H33" s="8">
        <v>69</v>
      </c>
      <c r="I33" s="8">
        <v>91</v>
      </c>
      <c r="J33" s="8">
        <v>81</v>
      </c>
      <c r="K33" s="8">
        <v>90</v>
      </c>
      <c r="L33" s="8">
        <v>63</v>
      </c>
      <c r="M33" s="8">
        <v>61</v>
      </c>
      <c r="N33" s="8">
        <v>70</v>
      </c>
      <c r="O33" s="8">
        <v>85</v>
      </c>
      <c r="P33" s="8">
        <v>90</v>
      </c>
      <c r="Q33" s="8">
        <v>91</v>
      </c>
      <c r="R33" s="8">
        <v>91</v>
      </c>
      <c r="S33" s="8">
        <v>9</v>
      </c>
      <c r="T33" s="8" t="s">
        <v>146</v>
      </c>
      <c r="U33" s="8">
        <v>2105</v>
      </c>
      <c r="V33" s="8" t="s">
        <v>99</v>
      </c>
      <c r="W33" s="1">
        <f t="shared" si="0"/>
        <v>75.178571428571431</v>
      </c>
    </row>
    <row r="34" spans="1:23" ht="15.75" x14ac:dyDescent="0.25">
      <c r="A34" s="5">
        <v>33</v>
      </c>
      <c r="B34" s="5">
        <v>359173</v>
      </c>
      <c r="C34" s="10">
        <v>2022015400229500</v>
      </c>
      <c r="D34" s="7" t="s">
        <v>36</v>
      </c>
      <c r="E34" s="8">
        <v>70</v>
      </c>
      <c r="F34" s="8">
        <v>73</v>
      </c>
      <c r="G34" s="8">
        <v>66</v>
      </c>
      <c r="H34" s="8">
        <v>71</v>
      </c>
      <c r="I34" s="8">
        <v>95</v>
      </c>
      <c r="J34" s="8">
        <v>90</v>
      </c>
      <c r="K34" s="8">
        <v>93</v>
      </c>
      <c r="L34" s="8">
        <v>85</v>
      </c>
      <c r="M34" s="8">
        <v>66</v>
      </c>
      <c r="N34" s="8">
        <v>80</v>
      </c>
      <c r="O34" s="8">
        <v>73</v>
      </c>
      <c r="P34" s="8">
        <v>95</v>
      </c>
      <c r="Q34" s="8">
        <v>93</v>
      </c>
      <c r="R34" s="8">
        <v>93</v>
      </c>
      <c r="S34" s="8">
        <v>9.25</v>
      </c>
      <c r="T34" s="8" t="s">
        <v>147</v>
      </c>
      <c r="U34" s="8">
        <v>2220</v>
      </c>
      <c r="V34" s="8" t="s">
        <v>99</v>
      </c>
      <c r="W34" s="1">
        <f t="shared" ref="W34:W65" si="1">U34/2800*100</f>
        <v>79.285714285714278</v>
      </c>
    </row>
    <row r="35" spans="1:23" ht="30" x14ac:dyDescent="0.25">
      <c r="A35" s="5">
        <v>34</v>
      </c>
      <c r="B35" s="5">
        <v>359192</v>
      </c>
      <c r="C35" s="10">
        <v>2022015400326240</v>
      </c>
      <c r="D35" s="7" t="s">
        <v>37</v>
      </c>
      <c r="E35" s="8">
        <v>66</v>
      </c>
      <c r="F35" s="8">
        <v>67</v>
      </c>
      <c r="G35" s="8">
        <v>53</v>
      </c>
      <c r="H35" s="8">
        <v>53</v>
      </c>
      <c r="I35" s="8">
        <v>83</v>
      </c>
      <c r="J35" s="8">
        <v>78</v>
      </c>
      <c r="K35" s="8">
        <v>79</v>
      </c>
      <c r="L35" s="8">
        <v>66</v>
      </c>
      <c r="M35" s="8">
        <v>60</v>
      </c>
      <c r="N35" s="8">
        <v>65</v>
      </c>
      <c r="O35" s="8" t="s">
        <v>148</v>
      </c>
      <c r="P35" s="8">
        <v>78</v>
      </c>
      <c r="Q35" s="8">
        <v>81</v>
      </c>
      <c r="R35" s="8">
        <v>76</v>
      </c>
      <c r="S35" s="8">
        <v>8.4600000000000009</v>
      </c>
      <c r="T35" s="8" t="s">
        <v>149</v>
      </c>
      <c r="U35" s="8">
        <v>2075</v>
      </c>
      <c r="V35" s="8" t="s">
        <v>90</v>
      </c>
      <c r="W35" s="1">
        <f t="shared" si="1"/>
        <v>74.107142857142861</v>
      </c>
    </row>
    <row r="36" spans="1:23" ht="15.75" x14ac:dyDescent="0.25">
      <c r="A36" s="5">
        <v>35</v>
      </c>
      <c r="B36" s="5">
        <v>359200</v>
      </c>
      <c r="C36" s="10">
        <v>2022015400230210</v>
      </c>
      <c r="D36" s="7" t="s">
        <v>38</v>
      </c>
      <c r="E36" s="8">
        <v>58</v>
      </c>
      <c r="F36" s="8">
        <v>60</v>
      </c>
      <c r="G36" s="8">
        <v>63</v>
      </c>
      <c r="H36" s="8">
        <v>65</v>
      </c>
      <c r="I36" s="8">
        <v>87</v>
      </c>
      <c r="J36" s="8">
        <v>82</v>
      </c>
      <c r="K36" s="8">
        <v>85</v>
      </c>
      <c r="L36" s="8">
        <v>69</v>
      </c>
      <c r="M36" s="8">
        <v>61</v>
      </c>
      <c r="N36" s="8">
        <v>82</v>
      </c>
      <c r="O36" s="8">
        <v>66</v>
      </c>
      <c r="P36" s="8">
        <v>92</v>
      </c>
      <c r="Q36" s="8">
        <v>85</v>
      </c>
      <c r="R36" s="8">
        <v>91</v>
      </c>
      <c r="S36" s="8">
        <v>8.89</v>
      </c>
      <c r="T36" s="8" t="s">
        <v>150</v>
      </c>
      <c r="U36" s="8">
        <v>2051</v>
      </c>
      <c r="V36" s="8" t="s">
        <v>99</v>
      </c>
      <c r="W36" s="1">
        <f t="shared" si="1"/>
        <v>73.25</v>
      </c>
    </row>
    <row r="37" spans="1:23" ht="30" x14ac:dyDescent="0.25">
      <c r="A37" s="5">
        <v>36</v>
      </c>
      <c r="B37" s="5">
        <v>359207</v>
      </c>
      <c r="C37" s="10">
        <v>2022015400229800</v>
      </c>
      <c r="D37" s="7" t="s">
        <v>39</v>
      </c>
      <c r="E37" s="8" t="s">
        <v>151</v>
      </c>
      <c r="F37" s="8">
        <v>63</v>
      </c>
      <c r="G37" s="8">
        <v>58</v>
      </c>
      <c r="H37" s="8">
        <v>58</v>
      </c>
      <c r="I37" s="8">
        <v>78</v>
      </c>
      <c r="J37" s="8">
        <v>78</v>
      </c>
      <c r="K37" s="8">
        <v>75</v>
      </c>
      <c r="L37" s="8">
        <v>55</v>
      </c>
      <c r="M37" s="8" t="s">
        <v>93</v>
      </c>
      <c r="N37" s="8">
        <v>54</v>
      </c>
      <c r="O37" s="8">
        <v>67</v>
      </c>
      <c r="P37" s="8">
        <v>74</v>
      </c>
      <c r="Q37" s="8">
        <v>69</v>
      </c>
      <c r="R37" s="8">
        <v>77</v>
      </c>
      <c r="S37" s="8">
        <v>7.29</v>
      </c>
      <c r="T37" s="8" t="s">
        <v>152</v>
      </c>
      <c r="U37" s="8">
        <v>1793</v>
      </c>
      <c r="V37" s="8" t="s">
        <v>90</v>
      </c>
      <c r="W37" s="1">
        <f t="shared" si="1"/>
        <v>64.035714285714278</v>
      </c>
    </row>
    <row r="38" spans="1:23" ht="30" x14ac:dyDescent="0.25">
      <c r="A38" s="5">
        <v>37</v>
      </c>
      <c r="B38" s="5">
        <v>359208</v>
      </c>
      <c r="C38" s="10">
        <v>2022015400229490</v>
      </c>
      <c r="D38" s="7" t="s">
        <v>40</v>
      </c>
      <c r="E38" s="8" t="s">
        <v>88</v>
      </c>
      <c r="F38" s="8">
        <v>47</v>
      </c>
      <c r="G38" s="8">
        <v>54</v>
      </c>
      <c r="H38" s="8">
        <v>62</v>
      </c>
      <c r="I38" s="8">
        <v>75</v>
      </c>
      <c r="J38" s="8">
        <v>63</v>
      </c>
      <c r="K38" s="8">
        <v>64</v>
      </c>
      <c r="L38" s="8" t="s">
        <v>94</v>
      </c>
      <c r="M38" s="8" t="s">
        <v>153</v>
      </c>
      <c r="N38" s="8">
        <v>59</v>
      </c>
      <c r="O38" s="8">
        <v>60</v>
      </c>
      <c r="P38" s="8">
        <v>76</v>
      </c>
      <c r="Q38" s="8">
        <v>70</v>
      </c>
      <c r="R38" s="8">
        <v>77</v>
      </c>
      <c r="S38" s="8">
        <v>6.96</v>
      </c>
      <c r="T38" s="8" t="s">
        <v>154</v>
      </c>
      <c r="U38" s="8">
        <v>1721</v>
      </c>
      <c r="V38" s="8" t="s">
        <v>90</v>
      </c>
      <c r="W38" s="1">
        <f t="shared" si="1"/>
        <v>61.464285714285715</v>
      </c>
    </row>
    <row r="39" spans="1:23" ht="30" x14ac:dyDescent="0.25">
      <c r="A39" s="5">
        <v>38</v>
      </c>
      <c r="B39" s="5">
        <v>359210</v>
      </c>
      <c r="C39" s="10">
        <v>2022015400229620</v>
      </c>
      <c r="D39" s="7" t="s">
        <v>41</v>
      </c>
      <c r="E39" s="8">
        <v>66</v>
      </c>
      <c r="F39" s="8">
        <v>56</v>
      </c>
      <c r="G39" s="8">
        <v>56</v>
      </c>
      <c r="H39" s="8">
        <v>66</v>
      </c>
      <c r="I39" s="8">
        <v>81</v>
      </c>
      <c r="J39" s="8">
        <v>73</v>
      </c>
      <c r="K39" s="8">
        <v>84</v>
      </c>
      <c r="L39" s="8">
        <v>68</v>
      </c>
      <c r="M39" s="8" t="s">
        <v>101</v>
      </c>
      <c r="N39" s="8">
        <v>75</v>
      </c>
      <c r="O39" s="8">
        <v>63</v>
      </c>
      <c r="P39" s="8">
        <v>84</v>
      </c>
      <c r="Q39" s="8">
        <v>72</v>
      </c>
      <c r="R39" s="8">
        <v>85</v>
      </c>
      <c r="S39" s="8">
        <v>7.82</v>
      </c>
      <c r="T39" s="8" t="s">
        <v>155</v>
      </c>
      <c r="U39" s="8">
        <v>1885</v>
      </c>
      <c r="V39" s="8" t="s">
        <v>90</v>
      </c>
      <c r="W39" s="1">
        <f t="shared" si="1"/>
        <v>67.321428571428584</v>
      </c>
    </row>
    <row r="40" spans="1:23" ht="30" x14ac:dyDescent="0.25">
      <c r="A40" s="5">
        <v>39</v>
      </c>
      <c r="B40" s="5">
        <v>359211</v>
      </c>
      <c r="C40" s="10">
        <v>2022015400229990</v>
      </c>
      <c r="D40" s="7" t="s">
        <v>41</v>
      </c>
      <c r="E40" s="8">
        <v>70</v>
      </c>
      <c r="F40" s="8">
        <v>65</v>
      </c>
      <c r="G40" s="8">
        <v>70</v>
      </c>
      <c r="H40" s="8">
        <v>64</v>
      </c>
      <c r="I40" s="8">
        <v>83</v>
      </c>
      <c r="J40" s="8">
        <v>73</v>
      </c>
      <c r="K40" s="8">
        <v>83</v>
      </c>
      <c r="L40" s="8">
        <v>62</v>
      </c>
      <c r="M40" s="8" t="s">
        <v>116</v>
      </c>
      <c r="N40" s="8">
        <v>70</v>
      </c>
      <c r="O40" s="8">
        <v>68</v>
      </c>
      <c r="P40" s="8">
        <v>85</v>
      </c>
      <c r="Q40" s="8">
        <v>77</v>
      </c>
      <c r="R40" s="8">
        <v>87</v>
      </c>
      <c r="S40" s="8">
        <v>8.5</v>
      </c>
      <c r="T40" s="8" t="s">
        <v>156</v>
      </c>
      <c r="U40" s="8">
        <v>1988</v>
      </c>
      <c r="V40" s="8" t="s">
        <v>90</v>
      </c>
      <c r="W40" s="1">
        <f t="shared" si="1"/>
        <v>71</v>
      </c>
    </row>
    <row r="41" spans="1:23" ht="30" x14ac:dyDescent="0.25">
      <c r="A41" s="5">
        <v>40</v>
      </c>
      <c r="B41" s="5">
        <v>359213</v>
      </c>
      <c r="C41" s="10">
        <v>2022015400229730</v>
      </c>
      <c r="D41" s="7" t="s">
        <v>42</v>
      </c>
      <c r="E41" s="8" t="s">
        <v>142</v>
      </c>
      <c r="F41" s="8">
        <v>55</v>
      </c>
      <c r="G41" s="8" t="s">
        <v>157</v>
      </c>
      <c r="H41" s="8">
        <v>55</v>
      </c>
      <c r="I41" s="8">
        <v>80</v>
      </c>
      <c r="J41" s="8">
        <v>73</v>
      </c>
      <c r="K41" s="8">
        <v>76</v>
      </c>
      <c r="L41" s="8">
        <v>61</v>
      </c>
      <c r="M41" s="8">
        <v>57</v>
      </c>
      <c r="N41" s="8" t="s">
        <v>94</v>
      </c>
      <c r="O41" s="8">
        <v>69</v>
      </c>
      <c r="P41" s="8">
        <v>80</v>
      </c>
      <c r="Q41" s="8">
        <v>76</v>
      </c>
      <c r="R41" s="8">
        <v>83</v>
      </c>
      <c r="S41" s="8">
        <v>7</v>
      </c>
      <c r="T41" s="8" t="s">
        <v>158</v>
      </c>
      <c r="U41" s="8">
        <v>1758</v>
      </c>
      <c r="V41" s="8" t="s">
        <v>90</v>
      </c>
      <c r="W41" s="1">
        <f t="shared" si="1"/>
        <v>62.785714285714292</v>
      </c>
    </row>
    <row r="42" spans="1:23" ht="15.75" x14ac:dyDescent="0.25">
      <c r="A42" s="5">
        <v>41</v>
      </c>
      <c r="B42" s="5">
        <v>359215</v>
      </c>
      <c r="C42" s="10">
        <v>2022015400281220</v>
      </c>
      <c r="D42" s="7" t="s">
        <v>43</v>
      </c>
      <c r="E42" s="8">
        <v>67</v>
      </c>
      <c r="F42" s="8">
        <v>66</v>
      </c>
      <c r="G42" s="8">
        <v>67</v>
      </c>
      <c r="H42" s="8">
        <v>60</v>
      </c>
      <c r="I42" s="8">
        <v>88</v>
      </c>
      <c r="J42" s="8">
        <v>81</v>
      </c>
      <c r="K42" s="8">
        <v>84</v>
      </c>
      <c r="L42" s="8">
        <v>68</v>
      </c>
      <c r="M42" s="8">
        <v>76</v>
      </c>
      <c r="N42" s="8">
        <v>72</v>
      </c>
      <c r="O42" s="8">
        <v>74</v>
      </c>
      <c r="P42" s="8">
        <v>91</v>
      </c>
      <c r="Q42" s="8">
        <v>89</v>
      </c>
      <c r="R42" s="8">
        <v>88</v>
      </c>
      <c r="S42" s="8">
        <v>8.5399999999999991</v>
      </c>
      <c r="T42" s="8" t="s">
        <v>159</v>
      </c>
      <c r="U42" s="8">
        <v>2027</v>
      </c>
      <c r="V42" s="8" t="s">
        <v>99</v>
      </c>
      <c r="W42" s="1">
        <f t="shared" si="1"/>
        <v>72.392857142857153</v>
      </c>
    </row>
    <row r="43" spans="1:23" ht="15.75" x14ac:dyDescent="0.25">
      <c r="A43" s="5">
        <v>42</v>
      </c>
      <c r="B43" s="5">
        <v>359216</v>
      </c>
      <c r="C43" s="10">
        <v>2022015400230090</v>
      </c>
      <c r="D43" s="7" t="s">
        <v>44</v>
      </c>
      <c r="E43" s="8" t="s">
        <v>160</v>
      </c>
      <c r="F43" s="8" t="s">
        <v>92</v>
      </c>
      <c r="G43" s="8" t="s">
        <v>140</v>
      </c>
      <c r="H43" s="8">
        <v>59</v>
      </c>
      <c r="I43" s="8">
        <v>78</v>
      </c>
      <c r="J43" s="8">
        <v>75</v>
      </c>
      <c r="K43" s="8">
        <v>83</v>
      </c>
      <c r="L43" s="8" t="s">
        <v>100</v>
      </c>
      <c r="M43" s="8" t="s">
        <v>119</v>
      </c>
      <c r="N43" s="8">
        <v>63</v>
      </c>
      <c r="O43" s="8">
        <v>59</v>
      </c>
      <c r="P43" s="8">
        <v>78</v>
      </c>
      <c r="Q43" s="8">
        <v>80</v>
      </c>
      <c r="R43" s="8">
        <v>73</v>
      </c>
      <c r="S43" s="8">
        <v>6.68</v>
      </c>
      <c r="T43" s="8" t="s">
        <v>161</v>
      </c>
      <c r="U43" s="8">
        <v>1758</v>
      </c>
      <c r="V43" s="8" t="s">
        <v>90</v>
      </c>
      <c r="W43" s="1">
        <f t="shared" si="1"/>
        <v>62.785714285714292</v>
      </c>
    </row>
    <row r="44" spans="1:23" ht="15.75" x14ac:dyDescent="0.25">
      <c r="A44" s="5">
        <v>43</v>
      </c>
      <c r="B44" s="5">
        <v>359217</v>
      </c>
      <c r="C44" s="10">
        <v>2022015400229590</v>
      </c>
      <c r="D44" s="7" t="s">
        <v>45</v>
      </c>
      <c r="E44" s="8">
        <v>71</v>
      </c>
      <c r="F44" s="8">
        <v>66</v>
      </c>
      <c r="G44" s="8">
        <v>74</v>
      </c>
      <c r="H44" s="8">
        <v>76</v>
      </c>
      <c r="I44" s="8">
        <v>92</v>
      </c>
      <c r="J44" s="8">
        <v>88</v>
      </c>
      <c r="K44" s="8">
        <v>87</v>
      </c>
      <c r="L44" s="8">
        <v>67</v>
      </c>
      <c r="M44" s="8">
        <v>73</v>
      </c>
      <c r="N44" s="8">
        <v>82</v>
      </c>
      <c r="O44" s="8">
        <v>83</v>
      </c>
      <c r="P44" s="8">
        <v>95</v>
      </c>
      <c r="Q44" s="8">
        <v>95</v>
      </c>
      <c r="R44" s="8">
        <v>93</v>
      </c>
      <c r="S44" s="8">
        <v>9.2100000000000009</v>
      </c>
      <c r="T44" s="8" t="s">
        <v>147</v>
      </c>
      <c r="U44" s="8">
        <v>2232</v>
      </c>
      <c r="V44" s="8" t="s">
        <v>99</v>
      </c>
      <c r="W44" s="1">
        <f t="shared" si="1"/>
        <v>79.714285714285722</v>
      </c>
    </row>
    <row r="45" spans="1:23" ht="30" x14ac:dyDescent="0.25">
      <c r="A45" s="5">
        <v>44</v>
      </c>
      <c r="B45" s="5">
        <v>359218</v>
      </c>
      <c r="C45" s="10">
        <v>2022015400001900</v>
      </c>
      <c r="D45" s="7" t="s">
        <v>46</v>
      </c>
      <c r="E45" s="8" t="s">
        <v>162</v>
      </c>
      <c r="F45" s="8" t="s">
        <v>88</v>
      </c>
      <c r="G45" s="8" t="s">
        <v>157</v>
      </c>
      <c r="H45" s="8">
        <v>48</v>
      </c>
      <c r="I45" s="8">
        <v>69</v>
      </c>
      <c r="J45" s="8">
        <v>74</v>
      </c>
      <c r="K45" s="8">
        <v>73</v>
      </c>
      <c r="L45" s="8">
        <v>54</v>
      </c>
      <c r="M45" s="8" t="s">
        <v>142</v>
      </c>
      <c r="N45" s="8">
        <v>63</v>
      </c>
      <c r="O45" s="8">
        <v>60</v>
      </c>
      <c r="P45" s="8">
        <v>76</v>
      </c>
      <c r="Q45" s="8">
        <v>73</v>
      </c>
      <c r="R45" s="8">
        <v>75</v>
      </c>
      <c r="S45" s="8">
        <v>6.57</v>
      </c>
      <c r="T45" s="8" t="s">
        <v>163</v>
      </c>
      <c r="U45" s="8">
        <v>1696</v>
      </c>
      <c r="V45" s="8" t="s">
        <v>90</v>
      </c>
      <c r="W45" s="1">
        <f t="shared" si="1"/>
        <v>60.571428571428577</v>
      </c>
    </row>
    <row r="46" spans="1:23" ht="15.75" x14ac:dyDescent="0.25">
      <c r="A46" s="5">
        <v>45</v>
      </c>
      <c r="B46" s="5">
        <v>359225</v>
      </c>
      <c r="C46" s="10">
        <v>2022015400326250</v>
      </c>
      <c r="D46" s="7" t="s">
        <v>47</v>
      </c>
      <c r="E46" s="8">
        <v>56</v>
      </c>
      <c r="F46" s="8">
        <v>58</v>
      </c>
      <c r="G46" s="8">
        <v>53</v>
      </c>
      <c r="H46" s="8">
        <v>56</v>
      </c>
      <c r="I46" s="8">
        <v>83</v>
      </c>
      <c r="J46" s="8">
        <v>78</v>
      </c>
      <c r="K46" s="8">
        <v>85</v>
      </c>
      <c r="L46" s="8">
        <v>59</v>
      </c>
      <c r="M46" s="8">
        <v>60</v>
      </c>
      <c r="N46" s="8">
        <v>69</v>
      </c>
      <c r="O46" s="8">
        <v>63</v>
      </c>
      <c r="P46" s="8">
        <v>88</v>
      </c>
      <c r="Q46" s="8">
        <v>85</v>
      </c>
      <c r="R46" s="8">
        <v>87</v>
      </c>
      <c r="S46" s="8">
        <v>8.5</v>
      </c>
      <c r="T46" s="8" t="s">
        <v>164</v>
      </c>
      <c r="U46" s="8">
        <v>1991</v>
      </c>
      <c r="V46" s="8" t="s">
        <v>99</v>
      </c>
      <c r="W46" s="1">
        <f t="shared" si="1"/>
        <v>71.107142857142861</v>
      </c>
    </row>
    <row r="47" spans="1:23" ht="30" x14ac:dyDescent="0.25">
      <c r="A47" s="5">
        <v>46</v>
      </c>
      <c r="B47" s="5">
        <v>359228</v>
      </c>
      <c r="C47" s="10">
        <v>2022015400229670</v>
      </c>
      <c r="D47" s="7" t="s">
        <v>48</v>
      </c>
      <c r="E47" s="8">
        <v>68</v>
      </c>
      <c r="F47" s="8">
        <v>68</v>
      </c>
      <c r="G47" s="8">
        <v>74</v>
      </c>
      <c r="H47" s="8">
        <v>83</v>
      </c>
      <c r="I47" s="8">
        <v>90</v>
      </c>
      <c r="J47" s="8">
        <v>76</v>
      </c>
      <c r="K47" s="8">
        <v>84</v>
      </c>
      <c r="L47" s="8">
        <v>71</v>
      </c>
      <c r="M47" s="8" t="s">
        <v>92</v>
      </c>
      <c r="N47" s="8">
        <v>66</v>
      </c>
      <c r="O47" s="8">
        <v>81</v>
      </c>
      <c r="P47" s="8">
        <v>80</v>
      </c>
      <c r="Q47" s="8">
        <v>82</v>
      </c>
      <c r="R47" s="8">
        <v>80</v>
      </c>
      <c r="S47" s="8">
        <v>8.93</v>
      </c>
      <c r="T47" s="8" t="s">
        <v>165</v>
      </c>
      <c r="U47" s="8">
        <v>2117</v>
      </c>
      <c r="V47" s="8" t="s">
        <v>90</v>
      </c>
      <c r="W47" s="1">
        <f t="shared" si="1"/>
        <v>75.607142857142861</v>
      </c>
    </row>
    <row r="48" spans="1:23" ht="15.75" x14ac:dyDescent="0.25">
      <c r="A48" s="5">
        <v>47</v>
      </c>
      <c r="B48" s="5">
        <v>359233</v>
      </c>
      <c r="C48" s="10">
        <v>2022015400229520</v>
      </c>
      <c r="D48" s="7" t="s">
        <v>49</v>
      </c>
      <c r="E48" s="8" t="s">
        <v>140</v>
      </c>
      <c r="F48" s="8" t="s">
        <v>140</v>
      </c>
      <c r="G48" s="8" t="s">
        <v>166</v>
      </c>
      <c r="H48" s="8" t="s">
        <v>119</v>
      </c>
      <c r="I48" s="8">
        <v>84</v>
      </c>
      <c r="J48" s="8">
        <v>72</v>
      </c>
      <c r="K48" s="8">
        <v>79</v>
      </c>
      <c r="L48" s="8">
        <v>59</v>
      </c>
      <c r="M48" s="8" t="s">
        <v>140</v>
      </c>
      <c r="N48" s="8">
        <v>95</v>
      </c>
      <c r="O48" s="8">
        <v>61</v>
      </c>
      <c r="P48" s="8">
        <v>79</v>
      </c>
      <c r="Q48" s="8">
        <v>76</v>
      </c>
      <c r="R48" s="8">
        <v>77</v>
      </c>
      <c r="S48" s="8">
        <v>6.68</v>
      </c>
      <c r="T48" s="8" t="s">
        <v>167</v>
      </c>
      <c r="U48" s="8">
        <v>1734</v>
      </c>
      <c r="V48" s="8" t="s">
        <v>90</v>
      </c>
      <c r="W48" s="1">
        <f t="shared" si="1"/>
        <v>61.928571428571431</v>
      </c>
    </row>
    <row r="49" spans="1:23" ht="30" x14ac:dyDescent="0.25">
      <c r="A49" s="5">
        <v>48</v>
      </c>
      <c r="B49" s="5">
        <v>359234</v>
      </c>
      <c r="C49" s="10">
        <v>2022015400230000</v>
      </c>
      <c r="D49" s="7" t="s">
        <v>50</v>
      </c>
      <c r="E49" s="8">
        <v>54</v>
      </c>
      <c r="F49" s="8">
        <v>47</v>
      </c>
      <c r="G49" s="8">
        <v>64</v>
      </c>
      <c r="H49" s="8">
        <v>52</v>
      </c>
      <c r="I49" s="8">
        <v>76</v>
      </c>
      <c r="J49" s="8">
        <v>74</v>
      </c>
      <c r="K49" s="8">
        <v>74</v>
      </c>
      <c r="L49" s="8">
        <v>62</v>
      </c>
      <c r="M49" s="8">
        <v>62</v>
      </c>
      <c r="N49" s="8">
        <v>61</v>
      </c>
      <c r="O49" s="8">
        <v>59</v>
      </c>
      <c r="P49" s="8">
        <v>75</v>
      </c>
      <c r="Q49" s="8">
        <v>74</v>
      </c>
      <c r="R49" s="8">
        <v>76</v>
      </c>
      <c r="S49" s="8">
        <v>7.18</v>
      </c>
      <c r="T49" s="8" t="s">
        <v>168</v>
      </c>
      <c r="U49" s="8">
        <v>1768</v>
      </c>
      <c r="V49" s="8" t="s">
        <v>99</v>
      </c>
      <c r="W49" s="1">
        <f t="shared" si="1"/>
        <v>63.142857142857146</v>
      </c>
    </row>
    <row r="50" spans="1:23" ht="15.75" x14ac:dyDescent="0.25">
      <c r="A50" s="5">
        <v>49</v>
      </c>
      <c r="B50" s="5">
        <v>359237</v>
      </c>
      <c r="C50" s="10">
        <v>2022015400229550</v>
      </c>
      <c r="D50" s="7" t="s">
        <v>51</v>
      </c>
      <c r="E50" s="8">
        <v>73</v>
      </c>
      <c r="F50" s="8">
        <v>69</v>
      </c>
      <c r="G50" s="8">
        <v>66</v>
      </c>
      <c r="H50" s="8">
        <v>78</v>
      </c>
      <c r="I50" s="8">
        <v>88</v>
      </c>
      <c r="J50" s="8">
        <v>79</v>
      </c>
      <c r="K50" s="8">
        <v>89</v>
      </c>
      <c r="L50" s="8">
        <v>66</v>
      </c>
      <c r="M50" s="8">
        <v>60</v>
      </c>
      <c r="N50" s="8">
        <v>68</v>
      </c>
      <c r="O50" s="8">
        <v>75</v>
      </c>
      <c r="P50" s="8">
        <v>86</v>
      </c>
      <c r="Q50" s="8">
        <v>88</v>
      </c>
      <c r="R50" s="8">
        <v>88</v>
      </c>
      <c r="S50" s="8">
        <v>8.9600000000000009</v>
      </c>
      <c r="T50" s="8" t="s">
        <v>169</v>
      </c>
      <c r="U50" s="8">
        <v>2106</v>
      </c>
      <c r="V50" s="8" t="s">
        <v>99</v>
      </c>
      <c r="W50" s="1">
        <f t="shared" si="1"/>
        <v>75.214285714285708</v>
      </c>
    </row>
    <row r="51" spans="1:23" ht="15.75" x14ac:dyDescent="0.25">
      <c r="A51" s="5">
        <v>50</v>
      </c>
      <c r="B51" s="5">
        <v>359239</v>
      </c>
      <c r="C51" s="10">
        <v>2022015400229560</v>
      </c>
      <c r="D51" s="7" t="s">
        <v>52</v>
      </c>
      <c r="E51" s="8">
        <v>74</v>
      </c>
      <c r="F51" s="8">
        <v>50</v>
      </c>
      <c r="G51" s="8">
        <v>52</v>
      </c>
      <c r="H51" s="8">
        <v>53</v>
      </c>
      <c r="I51" s="8">
        <v>86</v>
      </c>
      <c r="J51" s="8">
        <v>80</v>
      </c>
      <c r="K51" s="8">
        <v>85</v>
      </c>
      <c r="L51" s="8">
        <v>57</v>
      </c>
      <c r="M51" s="8" t="s">
        <v>121</v>
      </c>
      <c r="N51" s="8">
        <v>62</v>
      </c>
      <c r="O51" s="8" t="s">
        <v>170</v>
      </c>
      <c r="P51" s="8">
        <v>85</v>
      </c>
      <c r="Q51" s="8">
        <v>87</v>
      </c>
      <c r="R51" s="8">
        <v>88</v>
      </c>
      <c r="S51" s="8">
        <v>7.96</v>
      </c>
      <c r="T51" s="8" t="s">
        <v>171</v>
      </c>
      <c r="U51" s="8">
        <v>1982</v>
      </c>
      <c r="V51" s="8" t="s">
        <v>90</v>
      </c>
      <c r="W51" s="1">
        <f t="shared" si="1"/>
        <v>70.785714285714292</v>
      </c>
    </row>
    <row r="52" spans="1:23" ht="30" x14ac:dyDescent="0.25">
      <c r="A52" s="5">
        <v>51</v>
      </c>
      <c r="B52" s="5">
        <v>359240</v>
      </c>
      <c r="C52" s="10">
        <v>2022015400326210</v>
      </c>
      <c r="D52" s="7" t="s">
        <v>53</v>
      </c>
      <c r="E52" s="8">
        <v>75</v>
      </c>
      <c r="F52" s="8">
        <v>58</v>
      </c>
      <c r="G52" s="8">
        <v>51</v>
      </c>
      <c r="H52" s="8">
        <v>62</v>
      </c>
      <c r="I52" s="8">
        <v>86</v>
      </c>
      <c r="J52" s="8">
        <v>74</v>
      </c>
      <c r="K52" s="8">
        <v>82</v>
      </c>
      <c r="L52" s="8">
        <v>56</v>
      </c>
      <c r="M52" s="8" t="s">
        <v>93</v>
      </c>
      <c r="N52" s="8" t="s">
        <v>172</v>
      </c>
      <c r="O52" s="8" t="s">
        <v>173</v>
      </c>
      <c r="P52" s="8" t="s">
        <v>174</v>
      </c>
      <c r="Q52" s="8" t="s">
        <v>175</v>
      </c>
      <c r="R52" s="8" t="s">
        <v>174</v>
      </c>
      <c r="S52" s="8">
        <v>6.71</v>
      </c>
      <c r="T52" s="8" t="s">
        <v>176</v>
      </c>
      <c r="U52" s="8">
        <v>1784</v>
      </c>
      <c r="V52" s="8" t="s">
        <v>177</v>
      </c>
      <c r="W52" s="1">
        <f t="shared" si="1"/>
        <v>63.714285714285715</v>
      </c>
    </row>
    <row r="53" spans="1:23" ht="30" x14ac:dyDescent="0.25">
      <c r="A53" s="5">
        <v>52</v>
      </c>
      <c r="B53" s="5">
        <v>359241</v>
      </c>
      <c r="C53" s="10">
        <v>2020015400035840</v>
      </c>
      <c r="D53" s="7" t="s">
        <v>54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>
        <f t="shared" si="1"/>
        <v>0</v>
      </c>
    </row>
    <row r="54" spans="1:23" ht="15.75" x14ac:dyDescent="0.25">
      <c r="A54" s="5">
        <v>53</v>
      </c>
      <c r="B54" s="5">
        <v>359244</v>
      </c>
      <c r="C54" s="10">
        <v>2022015400326230</v>
      </c>
      <c r="D54" s="7" t="s">
        <v>55</v>
      </c>
      <c r="E54" s="8" t="s">
        <v>93</v>
      </c>
      <c r="F54" s="8">
        <v>62</v>
      </c>
      <c r="G54" s="8">
        <v>62</v>
      </c>
      <c r="H54" s="8">
        <v>74</v>
      </c>
      <c r="I54" s="8">
        <v>89</v>
      </c>
      <c r="J54" s="8">
        <v>77</v>
      </c>
      <c r="K54" s="8">
        <v>84</v>
      </c>
      <c r="L54" s="8">
        <v>69</v>
      </c>
      <c r="M54" s="8">
        <v>61</v>
      </c>
      <c r="N54" s="8">
        <v>71</v>
      </c>
      <c r="O54" s="8">
        <v>85</v>
      </c>
      <c r="P54" s="8">
        <v>92</v>
      </c>
      <c r="Q54" s="8">
        <v>90</v>
      </c>
      <c r="R54" s="8">
        <v>90</v>
      </c>
      <c r="S54" s="8">
        <v>8.64</v>
      </c>
      <c r="T54" s="8" t="s">
        <v>178</v>
      </c>
      <c r="U54" s="8">
        <v>2075</v>
      </c>
      <c r="V54" s="8" t="s">
        <v>90</v>
      </c>
      <c r="W54" s="19">
        <f t="shared" si="1"/>
        <v>74.107142857142861</v>
      </c>
    </row>
    <row r="55" spans="1:23" ht="30" x14ac:dyDescent="0.25">
      <c r="A55" s="5">
        <v>54</v>
      </c>
      <c r="B55" s="5">
        <v>359248</v>
      </c>
      <c r="C55" s="10">
        <v>2022015400281260</v>
      </c>
      <c r="D55" s="7" t="s">
        <v>56</v>
      </c>
      <c r="E55" s="8">
        <v>61</v>
      </c>
      <c r="F55" s="8">
        <v>68</v>
      </c>
      <c r="G55" s="8">
        <v>62</v>
      </c>
      <c r="H55" s="8">
        <v>68</v>
      </c>
      <c r="I55" s="8">
        <v>86</v>
      </c>
      <c r="J55" s="8">
        <v>77</v>
      </c>
      <c r="K55" s="8">
        <v>85</v>
      </c>
      <c r="L55" s="8">
        <v>71</v>
      </c>
      <c r="M55" s="8">
        <v>70</v>
      </c>
      <c r="N55" s="8">
        <v>78</v>
      </c>
      <c r="O55" s="8">
        <v>82</v>
      </c>
      <c r="P55" s="8">
        <v>83</v>
      </c>
      <c r="Q55" s="8">
        <v>86</v>
      </c>
      <c r="R55" s="8">
        <v>86</v>
      </c>
      <c r="S55" s="8">
        <v>9.11</v>
      </c>
      <c r="T55" s="8" t="s">
        <v>179</v>
      </c>
      <c r="U55" s="8">
        <v>2156</v>
      </c>
      <c r="V55" s="8" t="s">
        <v>99</v>
      </c>
      <c r="W55" s="19">
        <f t="shared" si="1"/>
        <v>77</v>
      </c>
    </row>
    <row r="56" spans="1:23" ht="30" x14ac:dyDescent="0.25">
      <c r="A56" s="5">
        <v>55</v>
      </c>
      <c r="B56" s="5">
        <v>359249</v>
      </c>
      <c r="C56" s="10">
        <v>2022015400229810</v>
      </c>
      <c r="D56" s="7" t="s">
        <v>57</v>
      </c>
      <c r="E56" s="8">
        <v>80</v>
      </c>
      <c r="F56" s="8">
        <v>80</v>
      </c>
      <c r="G56" s="8">
        <v>76</v>
      </c>
      <c r="H56" s="8">
        <v>83</v>
      </c>
      <c r="I56" s="8">
        <v>98</v>
      </c>
      <c r="J56" s="8">
        <v>97</v>
      </c>
      <c r="K56" s="8">
        <v>96</v>
      </c>
      <c r="L56" s="8">
        <v>89</v>
      </c>
      <c r="M56" s="8">
        <v>86</v>
      </c>
      <c r="N56" s="8">
        <v>84</v>
      </c>
      <c r="O56" s="8">
        <v>90</v>
      </c>
      <c r="P56" s="8">
        <v>98</v>
      </c>
      <c r="Q56" s="8">
        <v>98</v>
      </c>
      <c r="R56" s="8">
        <v>98</v>
      </c>
      <c r="S56" s="8">
        <v>9.93</v>
      </c>
      <c r="T56" s="8" t="s">
        <v>180</v>
      </c>
      <c r="U56" s="8">
        <v>2503</v>
      </c>
      <c r="V56" s="8" t="s">
        <v>99</v>
      </c>
      <c r="W56" s="19">
        <f t="shared" si="1"/>
        <v>89.392857142857139</v>
      </c>
    </row>
    <row r="57" spans="1:23" ht="15.75" x14ac:dyDescent="0.25">
      <c r="A57" s="5">
        <v>56</v>
      </c>
      <c r="B57" s="5">
        <v>359250</v>
      </c>
      <c r="C57" s="10">
        <v>2022015400229820</v>
      </c>
      <c r="D57" s="7" t="s">
        <v>58</v>
      </c>
      <c r="E57" s="8" t="s">
        <v>115</v>
      </c>
      <c r="F57" s="8">
        <v>57</v>
      </c>
      <c r="G57" s="8">
        <v>52</v>
      </c>
      <c r="H57" s="8">
        <v>55</v>
      </c>
      <c r="I57" s="8">
        <v>84</v>
      </c>
      <c r="J57" s="8">
        <v>80</v>
      </c>
      <c r="K57" s="8">
        <v>78</v>
      </c>
      <c r="L57" s="8">
        <v>66</v>
      </c>
      <c r="M57" s="8">
        <v>58</v>
      </c>
      <c r="N57" s="8">
        <v>67</v>
      </c>
      <c r="O57" s="8">
        <v>62</v>
      </c>
      <c r="P57" s="8">
        <v>84</v>
      </c>
      <c r="Q57" s="8">
        <v>81</v>
      </c>
      <c r="R57" s="8">
        <v>84</v>
      </c>
      <c r="S57" s="8">
        <v>7.39</v>
      </c>
      <c r="T57" s="8" t="s">
        <v>181</v>
      </c>
      <c r="U57" s="8">
        <v>1842</v>
      </c>
      <c r="V57" s="8" t="s">
        <v>90</v>
      </c>
      <c r="W57" s="19">
        <f t="shared" si="1"/>
        <v>65.785714285714278</v>
      </c>
    </row>
    <row r="58" spans="1:23" ht="30" x14ac:dyDescent="0.25">
      <c r="A58" s="5">
        <v>57</v>
      </c>
      <c r="B58" s="5">
        <v>359251</v>
      </c>
      <c r="C58" s="10">
        <v>2022015400230120</v>
      </c>
      <c r="D58" s="7" t="s">
        <v>59</v>
      </c>
      <c r="E58" s="8">
        <v>67</v>
      </c>
      <c r="F58" s="8">
        <v>47</v>
      </c>
      <c r="G58" s="8">
        <v>58</v>
      </c>
      <c r="H58" s="8">
        <v>53</v>
      </c>
      <c r="I58" s="8">
        <v>67</v>
      </c>
      <c r="J58" s="8">
        <v>74</v>
      </c>
      <c r="K58" s="8">
        <v>68</v>
      </c>
      <c r="L58" s="8">
        <v>70</v>
      </c>
      <c r="M58" s="8">
        <v>54</v>
      </c>
      <c r="N58" s="8">
        <v>69</v>
      </c>
      <c r="O58" s="8" t="s">
        <v>112</v>
      </c>
      <c r="P58" s="8">
        <v>76</v>
      </c>
      <c r="Q58" s="8">
        <v>77</v>
      </c>
      <c r="R58" s="8">
        <v>80</v>
      </c>
      <c r="S58" s="8">
        <v>7.61</v>
      </c>
      <c r="T58" s="8" t="s">
        <v>182</v>
      </c>
      <c r="U58" s="8">
        <v>1816</v>
      </c>
      <c r="V58" s="8" t="s">
        <v>90</v>
      </c>
      <c r="W58" s="19">
        <f t="shared" si="1"/>
        <v>64.857142857142861</v>
      </c>
    </row>
    <row r="59" spans="1:23" ht="15.75" x14ac:dyDescent="0.25">
      <c r="A59" s="5">
        <v>58</v>
      </c>
      <c r="B59" s="5">
        <v>359252</v>
      </c>
      <c r="C59" s="10">
        <v>2022015400230030</v>
      </c>
      <c r="D59" s="7" t="s">
        <v>60</v>
      </c>
      <c r="E59" s="8">
        <v>66</v>
      </c>
      <c r="F59" s="8">
        <v>51</v>
      </c>
      <c r="G59" s="8">
        <v>56</v>
      </c>
      <c r="H59" s="8">
        <v>64</v>
      </c>
      <c r="I59" s="8">
        <v>83</v>
      </c>
      <c r="J59" s="8">
        <v>72</v>
      </c>
      <c r="K59" s="8">
        <v>80</v>
      </c>
      <c r="L59" s="8">
        <v>58</v>
      </c>
      <c r="M59" s="8" t="s">
        <v>183</v>
      </c>
      <c r="N59" s="8">
        <v>73</v>
      </c>
      <c r="O59" s="8">
        <v>66</v>
      </c>
      <c r="P59" s="8">
        <v>88</v>
      </c>
      <c r="Q59" s="8">
        <v>85</v>
      </c>
      <c r="R59" s="8">
        <v>86</v>
      </c>
      <c r="S59" s="8">
        <v>8.14</v>
      </c>
      <c r="T59" s="8" t="s">
        <v>184</v>
      </c>
      <c r="U59" s="8">
        <v>1913</v>
      </c>
      <c r="V59" s="8" t="s">
        <v>99</v>
      </c>
      <c r="W59" s="19">
        <f t="shared" si="1"/>
        <v>68.321428571428569</v>
      </c>
    </row>
    <row r="60" spans="1:23" ht="30" x14ac:dyDescent="0.25">
      <c r="A60" s="5">
        <v>59</v>
      </c>
      <c r="B60" s="5">
        <v>359255</v>
      </c>
      <c r="C60" s="10">
        <v>2022015400229570</v>
      </c>
      <c r="D60" s="7" t="s">
        <v>61</v>
      </c>
      <c r="E60" s="8">
        <v>64</v>
      </c>
      <c r="F60" s="8">
        <v>56</v>
      </c>
      <c r="G60" s="8">
        <v>46</v>
      </c>
      <c r="H60" s="8">
        <v>60</v>
      </c>
      <c r="I60" s="8">
        <v>80</v>
      </c>
      <c r="J60" s="8">
        <v>79</v>
      </c>
      <c r="K60" s="8">
        <v>76</v>
      </c>
      <c r="L60" s="8">
        <v>56</v>
      </c>
      <c r="M60" s="8">
        <v>56</v>
      </c>
      <c r="N60" s="8">
        <v>58</v>
      </c>
      <c r="O60" s="8">
        <v>64</v>
      </c>
      <c r="P60" s="8">
        <v>76</v>
      </c>
      <c r="Q60" s="8">
        <v>77</v>
      </c>
      <c r="R60" s="8">
        <v>74</v>
      </c>
      <c r="S60" s="8">
        <v>8.0399999999999991</v>
      </c>
      <c r="T60" s="8" t="s">
        <v>185</v>
      </c>
      <c r="U60" s="8">
        <v>1875</v>
      </c>
      <c r="V60" s="8" t="s">
        <v>99</v>
      </c>
      <c r="W60" s="19">
        <f t="shared" si="1"/>
        <v>66.964285714285708</v>
      </c>
    </row>
    <row r="61" spans="1:23" ht="15.75" x14ac:dyDescent="0.25">
      <c r="A61" s="5">
        <v>60</v>
      </c>
      <c r="B61" s="5">
        <v>359261</v>
      </c>
      <c r="C61" s="10">
        <v>2022015400229770</v>
      </c>
      <c r="D61" s="7" t="s">
        <v>62</v>
      </c>
      <c r="E61" s="8">
        <v>62</v>
      </c>
      <c r="F61" s="8">
        <v>73</v>
      </c>
      <c r="G61" s="8">
        <v>70</v>
      </c>
      <c r="H61" s="8">
        <v>78</v>
      </c>
      <c r="I61" s="8">
        <v>92</v>
      </c>
      <c r="J61" s="8">
        <v>84</v>
      </c>
      <c r="K61" s="8">
        <v>87</v>
      </c>
      <c r="L61" s="8">
        <v>73</v>
      </c>
      <c r="M61" s="8">
        <v>61</v>
      </c>
      <c r="N61" s="8">
        <v>84</v>
      </c>
      <c r="O61" s="8">
        <v>86</v>
      </c>
      <c r="P61" s="8">
        <v>91</v>
      </c>
      <c r="Q61" s="8">
        <v>90</v>
      </c>
      <c r="R61" s="8">
        <v>89</v>
      </c>
      <c r="S61" s="8">
        <v>9.0399999999999991</v>
      </c>
      <c r="T61" s="8" t="s">
        <v>147</v>
      </c>
      <c r="U61" s="8">
        <v>2117</v>
      </c>
      <c r="V61" s="8" t="s">
        <v>99</v>
      </c>
      <c r="W61" s="19">
        <f t="shared" si="1"/>
        <v>75.607142857142861</v>
      </c>
    </row>
    <row r="62" spans="1:23" ht="30" x14ac:dyDescent="0.25">
      <c r="A62" s="5">
        <v>61</v>
      </c>
      <c r="B62" s="5">
        <v>359262</v>
      </c>
      <c r="C62" s="10">
        <v>2022015400230060</v>
      </c>
      <c r="D62" s="7" t="s">
        <v>63</v>
      </c>
      <c r="E62" s="8">
        <v>70</v>
      </c>
      <c r="F62" s="8">
        <v>61</v>
      </c>
      <c r="G62" s="8">
        <v>55</v>
      </c>
      <c r="H62" s="8">
        <v>63</v>
      </c>
      <c r="I62" s="8">
        <v>77</v>
      </c>
      <c r="J62" s="8">
        <v>79</v>
      </c>
      <c r="K62" s="8">
        <v>71</v>
      </c>
      <c r="L62" s="8">
        <v>75</v>
      </c>
      <c r="M62" s="8">
        <v>58</v>
      </c>
      <c r="N62" s="8">
        <v>58</v>
      </c>
      <c r="O62" s="8">
        <v>59</v>
      </c>
      <c r="P62" s="8">
        <v>80</v>
      </c>
      <c r="Q62" s="8">
        <v>78</v>
      </c>
      <c r="R62" s="8">
        <v>80</v>
      </c>
      <c r="S62" s="8">
        <v>7.75</v>
      </c>
      <c r="T62" s="8" t="s">
        <v>186</v>
      </c>
      <c r="U62" s="8">
        <v>1844</v>
      </c>
      <c r="V62" s="8" t="s">
        <v>99</v>
      </c>
      <c r="W62" s="19">
        <f t="shared" si="1"/>
        <v>65.857142857142861</v>
      </c>
    </row>
    <row r="63" spans="1:23" ht="30" x14ac:dyDescent="0.25">
      <c r="A63" s="5">
        <v>62</v>
      </c>
      <c r="B63" s="5">
        <v>359263</v>
      </c>
      <c r="C63" s="10">
        <v>2022015400230110</v>
      </c>
      <c r="D63" s="7" t="s">
        <v>64</v>
      </c>
      <c r="E63" s="8">
        <v>60</v>
      </c>
      <c r="F63" s="8">
        <v>68</v>
      </c>
      <c r="G63" s="8">
        <v>53</v>
      </c>
      <c r="H63" s="8">
        <v>71</v>
      </c>
      <c r="I63" s="8">
        <v>84</v>
      </c>
      <c r="J63" s="8">
        <v>82</v>
      </c>
      <c r="K63" s="8">
        <v>88</v>
      </c>
      <c r="L63" s="8">
        <v>67</v>
      </c>
      <c r="M63" s="8" t="s">
        <v>183</v>
      </c>
      <c r="N63" s="8">
        <v>75</v>
      </c>
      <c r="O63" s="8">
        <v>67</v>
      </c>
      <c r="P63" s="8">
        <v>88</v>
      </c>
      <c r="Q63" s="8">
        <v>92</v>
      </c>
      <c r="R63" s="8">
        <v>91</v>
      </c>
      <c r="S63" s="8">
        <v>8.75</v>
      </c>
      <c r="T63" s="8" t="s">
        <v>187</v>
      </c>
      <c r="U63" s="8">
        <v>2087</v>
      </c>
      <c r="V63" s="8" t="s">
        <v>99</v>
      </c>
      <c r="W63" s="19">
        <f t="shared" si="1"/>
        <v>74.535714285714278</v>
      </c>
    </row>
    <row r="64" spans="1:23" ht="15.75" x14ac:dyDescent="0.25">
      <c r="A64" s="5">
        <v>63</v>
      </c>
      <c r="B64" s="5">
        <v>359264</v>
      </c>
      <c r="C64" s="10">
        <v>2022015400229840</v>
      </c>
      <c r="D64" s="7" t="s">
        <v>65</v>
      </c>
      <c r="E64" s="8">
        <v>65</v>
      </c>
      <c r="F64" s="8">
        <v>65</v>
      </c>
      <c r="G64" s="8">
        <v>62</v>
      </c>
      <c r="H64" s="8">
        <v>78</v>
      </c>
      <c r="I64" s="8">
        <v>84</v>
      </c>
      <c r="J64" s="8">
        <v>86</v>
      </c>
      <c r="K64" s="8">
        <v>83</v>
      </c>
      <c r="L64" s="8">
        <v>81</v>
      </c>
      <c r="M64" s="8">
        <v>69</v>
      </c>
      <c r="N64" s="8">
        <v>65</v>
      </c>
      <c r="O64" s="8">
        <v>78</v>
      </c>
      <c r="P64" s="8">
        <v>90</v>
      </c>
      <c r="Q64" s="8">
        <v>88</v>
      </c>
      <c r="R64" s="8">
        <v>87</v>
      </c>
      <c r="S64" s="8">
        <v>9.11</v>
      </c>
      <c r="T64" s="8" t="s">
        <v>146</v>
      </c>
      <c r="U64" s="8">
        <v>2171</v>
      </c>
      <c r="V64" s="8" t="s">
        <v>99</v>
      </c>
      <c r="W64" s="19">
        <f t="shared" si="1"/>
        <v>77.535714285714292</v>
      </c>
    </row>
    <row r="65" spans="1:23" ht="30" x14ac:dyDescent="0.25">
      <c r="A65" s="5">
        <v>64</v>
      </c>
      <c r="B65" s="5">
        <v>359266</v>
      </c>
      <c r="C65" s="10">
        <v>2022015400229890</v>
      </c>
      <c r="D65" s="7" t="s">
        <v>66</v>
      </c>
      <c r="E65" s="8">
        <v>61</v>
      </c>
      <c r="F65" s="8">
        <v>53</v>
      </c>
      <c r="G65" s="8">
        <v>56</v>
      </c>
      <c r="H65" s="8">
        <v>58</v>
      </c>
      <c r="I65" s="8">
        <v>79</v>
      </c>
      <c r="J65" s="8">
        <v>85</v>
      </c>
      <c r="K65" s="8">
        <v>79</v>
      </c>
      <c r="L65" s="8">
        <v>55</v>
      </c>
      <c r="M65" s="8" t="s">
        <v>119</v>
      </c>
      <c r="N65" s="8">
        <v>74</v>
      </c>
      <c r="O65" s="8">
        <v>63</v>
      </c>
      <c r="P65" s="8">
        <v>81</v>
      </c>
      <c r="Q65" s="8">
        <v>77</v>
      </c>
      <c r="R65" s="8">
        <v>77</v>
      </c>
      <c r="S65" s="8">
        <v>7.64</v>
      </c>
      <c r="T65" s="8" t="s">
        <v>149</v>
      </c>
      <c r="U65" s="8">
        <v>1867</v>
      </c>
      <c r="V65" s="8" t="s">
        <v>90</v>
      </c>
      <c r="W65" s="19">
        <f t="shared" si="1"/>
        <v>66.678571428571431</v>
      </c>
    </row>
    <row r="66" spans="1:23" ht="30" x14ac:dyDescent="0.25">
      <c r="A66" s="5">
        <v>65</v>
      </c>
      <c r="B66" s="5">
        <v>359269</v>
      </c>
      <c r="C66" s="10">
        <v>2022015400229680</v>
      </c>
      <c r="D66" s="7" t="s">
        <v>67</v>
      </c>
      <c r="E66" s="8">
        <v>52</v>
      </c>
      <c r="F66" s="8">
        <v>51</v>
      </c>
      <c r="G66" s="8">
        <v>52</v>
      </c>
      <c r="H66" s="8">
        <v>51</v>
      </c>
      <c r="I66" s="8">
        <v>80</v>
      </c>
      <c r="J66" s="8">
        <v>84</v>
      </c>
      <c r="K66" s="8">
        <v>77</v>
      </c>
      <c r="L66" s="8">
        <v>61</v>
      </c>
      <c r="M66" s="8">
        <v>58</v>
      </c>
      <c r="N66" s="8">
        <v>59</v>
      </c>
      <c r="O66" s="8">
        <v>61</v>
      </c>
      <c r="P66" s="8">
        <v>84</v>
      </c>
      <c r="Q66" s="8">
        <v>81</v>
      </c>
      <c r="R66" s="8">
        <v>83</v>
      </c>
      <c r="S66" s="8">
        <v>8</v>
      </c>
      <c r="T66" s="8" t="s">
        <v>188</v>
      </c>
      <c r="U66" s="8">
        <v>1866</v>
      </c>
      <c r="V66" s="8" t="s">
        <v>99</v>
      </c>
      <c r="W66" s="19">
        <f t="shared" ref="W66:W78" si="2">U66/2800*100</f>
        <v>66.642857142857153</v>
      </c>
    </row>
    <row r="67" spans="1:23" ht="30" x14ac:dyDescent="0.25">
      <c r="A67" s="5">
        <v>66</v>
      </c>
      <c r="B67" s="5">
        <v>359273</v>
      </c>
      <c r="C67" s="10">
        <v>2022015400229540</v>
      </c>
      <c r="D67" s="7" t="s">
        <v>68</v>
      </c>
      <c r="E67" s="8">
        <v>71</v>
      </c>
      <c r="F67" s="8">
        <v>60</v>
      </c>
      <c r="G67" s="8">
        <v>60</v>
      </c>
      <c r="H67" s="8">
        <v>56</v>
      </c>
      <c r="I67" s="8">
        <v>81</v>
      </c>
      <c r="J67" s="8">
        <v>80</v>
      </c>
      <c r="K67" s="8">
        <v>77</v>
      </c>
      <c r="L67" s="8">
        <v>60</v>
      </c>
      <c r="M67" s="8" t="s">
        <v>93</v>
      </c>
      <c r="N67" s="8">
        <v>66</v>
      </c>
      <c r="O67" s="8">
        <v>69</v>
      </c>
      <c r="P67" s="8">
        <v>79</v>
      </c>
      <c r="Q67" s="8">
        <v>74</v>
      </c>
      <c r="R67" s="8">
        <v>77</v>
      </c>
      <c r="S67" s="8">
        <v>8</v>
      </c>
      <c r="T67" s="8" t="s">
        <v>189</v>
      </c>
      <c r="U67" s="8">
        <v>1861</v>
      </c>
      <c r="V67" s="8" t="s">
        <v>90</v>
      </c>
      <c r="W67" s="19">
        <f t="shared" si="2"/>
        <v>66.464285714285708</v>
      </c>
    </row>
    <row r="68" spans="1:23" ht="30" x14ac:dyDescent="0.25">
      <c r="A68" s="5">
        <v>67</v>
      </c>
      <c r="B68" s="5">
        <v>359275</v>
      </c>
      <c r="C68" s="10">
        <v>2022015400229650</v>
      </c>
      <c r="D68" s="7" t="s">
        <v>69</v>
      </c>
      <c r="E68" s="8">
        <v>73</v>
      </c>
      <c r="F68" s="8">
        <v>59</v>
      </c>
      <c r="G68" s="8">
        <v>67</v>
      </c>
      <c r="H68" s="8">
        <v>60</v>
      </c>
      <c r="I68" s="8">
        <v>87</v>
      </c>
      <c r="J68" s="8">
        <v>83</v>
      </c>
      <c r="K68" s="8">
        <v>89</v>
      </c>
      <c r="L68" s="8">
        <v>61</v>
      </c>
      <c r="M68" s="8">
        <v>64</v>
      </c>
      <c r="N68" s="8">
        <v>67</v>
      </c>
      <c r="O68" s="8">
        <v>75</v>
      </c>
      <c r="P68" s="8">
        <v>93</v>
      </c>
      <c r="Q68" s="8">
        <v>90</v>
      </c>
      <c r="R68" s="8">
        <v>94</v>
      </c>
      <c r="S68" s="8">
        <v>8.89</v>
      </c>
      <c r="T68" s="8" t="s">
        <v>190</v>
      </c>
      <c r="U68" s="8">
        <v>2140</v>
      </c>
      <c r="V68" s="8" t="s">
        <v>99</v>
      </c>
      <c r="W68" s="19">
        <f t="shared" si="2"/>
        <v>76.428571428571416</v>
      </c>
    </row>
    <row r="69" spans="1:23" ht="30" x14ac:dyDescent="0.25">
      <c r="A69" s="5">
        <v>68</v>
      </c>
      <c r="B69" s="5">
        <v>359277</v>
      </c>
      <c r="C69" s="10">
        <v>2022015400229790</v>
      </c>
      <c r="D69" s="7" t="s">
        <v>70</v>
      </c>
      <c r="E69" s="8">
        <v>60</v>
      </c>
      <c r="F69" s="8">
        <v>74</v>
      </c>
      <c r="G69" s="8">
        <v>70</v>
      </c>
      <c r="H69" s="8">
        <v>79</v>
      </c>
      <c r="I69" s="8">
        <v>90</v>
      </c>
      <c r="J69" s="8">
        <v>89</v>
      </c>
      <c r="K69" s="8">
        <v>90</v>
      </c>
      <c r="L69" s="8">
        <v>74</v>
      </c>
      <c r="M69" s="8">
        <v>61</v>
      </c>
      <c r="N69" s="8">
        <v>71</v>
      </c>
      <c r="O69" s="8">
        <v>77</v>
      </c>
      <c r="P69" s="8">
        <v>88</v>
      </c>
      <c r="Q69" s="8">
        <v>91</v>
      </c>
      <c r="R69" s="8">
        <v>87</v>
      </c>
      <c r="S69" s="8">
        <v>9.18</v>
      </c>
      <c r="T69" s="8" t="s">
        <v>191</v>
      </c>
      <c r="U69" s="8">
        <v>2221</v>
      </c>
      <c r="V69" s="8" t="s">
        <v>99</v>
      </c>
      <c r="W69" s="19">
        <f t="shared" si="2"/>
        <v>79.321428571428569</v>
      </c>
    </row>
    <row r="70" spans="1:23" ht="30" x14ac:dyDescent="0.25">
      <c r="A70" s="5">
        <v>69</v>
      </c>
      <c r="B70" s="5">
        <v>359285</v>
      </c>
      <c r="C70" s="10">
        <v>2022015400229880</v>
      </c>
      <c r="D70" s="7" t="s">
        <v>71</v>
      </c>
      <c r="E70" s="8">
        <v>70</v>
      </c>
      <c r="F70" s="8">
        <v>54</v>
      </c>
      <c r="G70" s="8">
        <v>56</v>
      </c>
      <c r="H70" s="8">
        <v>49</v>
      </c>
      <c r="I70" s="8">
        <v>78</v>
      </c>
      <c r="J70" s="8">
        <v>73</v>
      </c>
      <c r="K70" s="8">
        <v>73</v>
      </c>
      <c r="L70" s="8">
        <v>59</v>
      </c>
      <c r="M70" s="8">
        <v>60</v>
      </c>
      <c r="N70" s="8">
        <v>65</v>
      </c>
      <c r="O70" s="8">
        <v>70</v>
      </c>
      <c r="P70" s="8">
        <v>80</v>
      </c>
      <c r="Q70" s="8">
        <v>80</v>
      </c>
      <c r="R70" s="8">
        <v>82</v>
      </c>
      <c r="S70" s="8">
        <v>8.32</v>
      </c>
      <c r="T70" s="8" t="s">
        <v>192</v>
      </c>
      <c r="U70" s="8">
        <v>1947</v>
      </c>
      <c r="V70" s="8" t="s">
        <v>99</v>
      </c>
      <c r="W70" s="19">
        <f t="shared" si="2"/>
        <v>69.535714285714292</v>
      </c>
    </row>
    <row r="71" spans="1:23" ht="30" x14ac:dyDescent="0.25">
      <c r="A71" s="5">
        <v>70</v>
      </c>
      <c r="B71" s="5">
        <v>359289</v>
      </c>
      <c r="C71" s="10">
        <v>2022015400229780</v>
      </c>
      <c r="D71" s="7" t="s">
        <v>72</v>
      </c>
      <c r="E71" s="8">
        <v>71</v>
      </c>
      <c r="F71" s="8">
        <v>63</v>
      </c>
      <c r="G71" s="8">
        <v>73</v>
      </c>
      <c r="H71" s="8">
        <v>70</v>
      </c>
      <c r="I71" s="8">
        <v>86</v>
      </c>
      <c r="J71" s="8">
        <v>81</v>
      </c>
      <c r="K71" s="8">
        <v>82</v>
      </c>
      <c r="L71" s="8">
        <v>66</v>
      </c>
      <c r="M71" s="8">
        <v>62</v>
      </c>
      <c r="N71" s="8">
        <v>71</v>
      </c>
      <c r="O71" s="8">
        <v>69</v>
      </c>
      <c r="P71" s="8">
        <v>87</v>
      </c>
      <c r="Q71" s="8">
        <v>85</v>
      </c>
      <c r="R71" s="8">
        <v>89</v>
      </c>
      <c r="S71" s="8">
        <v>9</v>
      </c>
      <c r="T71" s="8" t="s">
        <v>193</v>
      </c>
      <c r="U71" s="8">
        <v>2104</v>
      </c>
      <c r="V71" s="8" t="s">
        <v>99</v>
      </c>
      <c r="W71" s="19">
        <f t="shared" si="2"/>
        <v>75.142857142857139</v>
      </c>
    </row>
    <row r="72" spans="1:23" ht="30" x14ac:dyDescent="0.25">
      <c r="A72" s="5">
        <v>71</v>
      </c>
      <c r="B72" s="5">
        <v>359291</v>
      </c>
      <c r="C72" s="10">
        <v>2022015400230240</v>
      </c>
      <c r="D72" s="7" t="s">
        <v>73</v>
      </c>
      <c r="E72" s="8">
        <v>53</v>
      </c>
      <c r="F72" s="8" t="s">
        <v>166</v>
      </c>
      <c r="G72" s="8" t="s">
        <v>88</v>
      </c>
      <c r="H72" s="8">
        <v>55</v>
      </c>
      <c r="I72" s="8">
        <v>80</v>
      </c>
      <c r="J72" s="8">
        <v>78</v>
      </c>
      <c r="K72" s="8">
        <v>75</v>
      </c>
      <c r="L72" s="8">
        <v>54</v>
      </c>
      <c r="M72" s="8" t="s">
        <v>101</v>
      </c>
      <c r="N72" s="8">
        <v>60</v>
      </c>
      <c r="O72" s="8" t="s">
        <v>101</v>
      </c>
      <c r="P72" s="8">
        <v>76</v>
      </c>
      <c r="Q72" s="8">
        <v>73</v>
      </c>
      <c r="R72" s="8">
        <v>75</v>
      </c>
      <c r="S72" s="8">
        <v>5.82</v>
      </c>
      <c r="T72" s="8" t="s">
        <v>194</v>
      </c>
      <c r="U72" s="8">
        <v>1669</v>
      </c>
      <c r="V72" s="8" t="s">
        <v>90</v>
      </c>
      <c r="W72" s="19">
        <f t="shared" si="2"/>
        <v>59.607142857142861</v>
      </c>
    </row>
    <row r="73" spans="1:23" ht="15.75" x14ac:dyDescent="0.25">
      <c r="A73" s="5">
        <v>72</v>
      </c>
      <c r="B73" s="5">
        <v>359294</v>
      </c>
      <c r="C73" s="10">
        <v>2022015400229700</v>
      </c>
      <c r="D73" s="7" t="s">
        <v>74</v>
      </c>
      <c r="E73" s="8">
        <v>59</v>
      </c>
      <c r="F73" s="8">
        <v>56</v>
      </c>
      <c r="G73" s="8">
        <v>72</v>
      </c>
      <c r="H73" s="8">
        <v>62</v>
      </c>
      <c r="I73" s="8">
        <v>76</v>
      </c>
      <c r="J73" s="8">
        <v>89</v>
      </c>
      <c r="K73" s="8">
        <v>68</v>
      </c>
      <c r="L73" s="8">
        <v>54</v>
      </c>
      <c r="M73" s="8">
        <v>59</v>
      </c>
      <c r="N73" s="8">
        <v>65</v>
      </c>
      <c r="O73" s="8">
        <v>71</v>
      </c>
      <c r="P73" s="8">
        <v>77</v>
      </c>
      <c r="Q73" s="8">
        <v>80</v>
      </c>
      <c r="R73" s="8">
        <v>78</v>
      </c>
      <c r="S73" s="8">
        <v>8.7100000000000009</v>
      </c>
      <c r="T73" s="8" t="s">
        <v>195</v>
      </c>
      <c r="U73" s="8">
        <v>2038</v>
      </c>
      <c r="V73" s="8" t="s">
        <v>99</v>
      </c>
      <c r="W73" s="19">
        <f t="shared" si="2"/>
        <v>72.785714285714292</v>
      </c>
    </row>
    <row r="74" spans="1:23" ht="30" x14ac:dyDescent="0.25">
      <c r="A74" s="5">
        <v>73</v>
      </c>
      <c r="B74" s="5">
        <v>359295</v>
      </c>
      <c r="C74" s="10">
        <v>2022015400230260</v>
      </c>
      <c r="D74" s="7" t="s">
        <v>75</v>
      </c>
      <c r="E74" s="8">
        <v>71</v>
      </c>
      <c r="F74" s="8">
        <v>55</v>
      </c>
      <c r="G74" s="8">
        <v>57</v>
      </c>
      <c r="H74" s="8">
        <v>67</v>
      </c>
      <c r="I74" s="8">
        <v>80</v>
      </c>
      <c r="J74" s="8">
        <v>79</v>
      </c>
      <c r="K74" s="8">
        <v>83</v>
      </c>
      <c r="L74" s="8">
        <v>54</v>
      </c>
      <c r="M74" s="8">
        <v>66</v>
      </c>
      <c r="N74" s="8">
        <v>62</v>
      </c>
      <c r="O74" s="8">
        <v>61</v>
      </c>
      <c r="P74" s="8">
        <v>76</v>
      </c>
      <c r="Q74" s="8">
        <v>79</v>
      </c>
      <c r="R74" s="8">
        <v>80</v>
      </c>
      <c r="S74" s="8">
        <v>8.39</v>
      </c>
      <c r="T74" s="8" t="s">
        <v>196</v>
      </c>
      <c r="U74" s="8">
        <v>1928</v>
      </c>
      <c r="V74" s="8" t="s">
        <v>99</v>
      </c>
      <c r="W74" s="19">
        <f t="shared" si="2"/>
        <v>68.857142857142861</v>
      </c>
    </row>
    <row r="75" spans="1:23" ht="15.75" x14ac:dyDescent="0.25">
      <c r="A75" s="5">
        <v>74</v>
      </c>
      <c r="B75" s="5">
        <v>359303</v>
      </c>
      <c r="C75" s="10">
        <v>2022015400229610</v>
      </c>
      <c r="D75" s="7" t="s">
        <v>76</v>
      </c>
      <c r="E75" s="8">
        <v>82</v>
      </c>
      <c r="F75" s="8">
        <v>71</v>
      </c>
      <c r="G75" s="8">
        <v>84</v>
      </c>
      <c r="H75" s="8">
        <v>72</v>
      </c>
      <c r="I75" s="8">
        <v>98</v>
      </c>
      <c r="J75" s="8">
        <v>97</v>
      </c>
      <c r="K75" s="8">
        <v>98</v>
      </c>
      <c r="L75" s="8">
        <v>76</v>
      </c>
      <c r="M75" s="8">
        <v>68</v>
      </c>
      <c r="N75" s="8">
        <v>80</v>
      </c>
      <c r="O75" s="8">
        <v>90</v>
      </c>
      <c r="P75" s="8">
        <v>98</v>
      </c>
      <c r="Q75" s="8">
        <v>98</v>
      </c>
      <c r="R75" s="8">
        <v>98</v>
      </c>
      <c r="S75" s="8">
        <v>9.7100000000000009</v>
      </c>
      <c r="T75" s="8" t="s">
        <v>197</v>
      </c>
      <c r="U75" s="8">
        <v>2455</v>
      </c>
      <c r="V75" s="8" t="s">
        <v>99</v>
      </c>
      <c r="W75" s="19">
        <f t="shared" si="2"/>
        <v>87.678571428571431</v>
      </c>
    </row>
    <row r="76" spans="1:23" ht="15.75" x14ac:dyDescent="0.25">
      <c r="A76" s="5">
        <v>75</v>
      </c>
      <c r="B76" s="5">
        <v>359305</v>
      </c>
      <c r="C76" s="10">
        <v>2022015400229690</v>
      </c>
      <c r="D76" s="7" t="s">
        <v>77</v>
      </c>
      <c r="E76" s="8">
        <v>85</v>
      </c>
      <c r="F76" s="8">
        <v>68</v>
      </c>
      <c r="G76" s="8">
        <v>85</v>
      </c>
      <c r="H76" s="8">
        <v>85</v>
      </c>
      <c r="I76" s="8">
        <v>97</v>
      </c>
      <c r="J76" s="8">
        <v>97</v>
      </c>
      <c r="K76" s="8">
        <v>98</v>
      </c>
      <c r="L76" s="8">
        <v>78</v>
      </c>
      <c r="M76" s="8">
        <v>86</v>
      </c>
      <c r="N76" s="8">
        <v>83</v>
      </c>
      <c r="O76" s="8">
        <v>91</v>
      </c>
      <c r="P76" s="8">
        <v>98</v>
      </c>
      <c r="Q76" s="8">
        <v>98</v>
      </c>
      <c r="R76" s="8">
        <v>98</v>
      </c>
      <c r="S76" s="8">
        <v>9.75</v>
      </c>
      <c r="T76" s="8" t="s">
        <v>198</v>
      </c>
      <c r="U76" s="8">
        <v>2487</v>
      </c>
      <c r="V76" s="8" t="s">
        <v>99</v>
      </c>
      <c r="W76" s="19">
        <f t="shared" si="2"/>
        <v>88.821428571428569</v>
      </c>
    </row>
    <row r="77" spans="1:23" x14ac:dyDescent="0.25">
      <c r="A77" s="3"/>
      <c r="B77" s="3"/>
      <c r="C77" s="14"/>
      <c r="D77" s="1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</sheetData>
  <autoFilter ref="A1:W1"/>
  <sortState ref="A2:W78">
    <sortCondition ref="A2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D7" sqref="D7"/>
    </sheetView>
  </sheetViews>
  <sheetFormatPr defaultRowHeight="15" x14ac:dyDescent="0.25"/>
  <cols>
    <col min="1" max="1" width="25.28515625" bestFit="1" customWidth="1"/>
    <col min="2" max="2" width="10.85546875" bestFit="1" customWidth="1"/>
    <col min="6" max="6" width="30.28515625" bestFit="1" customWidth="1"/>
    <col min="7" max="7" width="10.85546875" bestFit="1" customWidth="1"/>
    <col min="8" max="8" width="25.140625" bestFit="1" customWidth="1"/>
    <col min="9" max="9" width="10.7109375" customWidth="1"/>
    <col min="10" max="10" width="21" customWidth="1"/>
  </cols>
  <sheetData>
    <row r="1" spans="1:11" x14ac:dyDescent="0.25">
      <c r="A1" s="1" t="s">
        <v>211</v>
      </c>
      <c r="B1" s="1"/>
      <c r="F1" s="1" t="s">
        <v>199</v>
      </c>
      <c r="G1" s="1"/>
      <c r="H1" s="2" t="s">
        <v>200</v>
      </c>
      <c r="J1" t="s">
        <v>201</v>
      </c>
    </row>
    <row r="2" spans="1:11" ht="45" x14ac:dyDescent="0.25">
      <c r="A2" s="1" t="s">
        <v>202</v>
      </c>
      <c r="B2" s="1" t="s">
        <v>214</v>
      </c>
      <c r="F2" s="1" t="s">
        <v>205</v>
      </c>
      <c r="G2" s="1" t="s">
        <v>217</v>
      </c>
      <c r="H2" s="1" t="s">
        <v>208</v>
      </c>
      <c r="I2" s="1" t="s">
        <v>219</v>
      </c>
      <c r="J2" s="7" t="s">
        <v>57</v>
      </c>
      <c r="K2" s="13">
        <v>89.392857142857139</v>
      </c>
    </row>
    <row r="3" spans="1:11" ht="30" x14ac:dyDescent="0.25">
      <c r="A3" s="1" t="s">
        <v>203</v>
      </c>
      <c r="B3" s="1" t="s">
        <v>215</v>
      </c>
      <c r="F3" s="1" t="s">
        <v>206</v>
      </c>
      <c r="G3" s="1" t="s">
        <v>218</v>
      </c>
      <c r="H3" s="1" t="s">
        <v>209</v>
      </c>
      <c r="I3" s="1" t="s">
        <v>216</v>
      </c>
      <c r="J3" s="7" t="s">
        <v>77</v>
      </c>
      <c r="K3" s="13">
        <v>88.821428571428569</v>
      </c>
    </row>
    <row r="4" spans="1:11" ht="30" x14ac:dyDescent="0.25">
      <c r="A4" s="1" t="s">
        <v>204</v>
      </c>
      <c r="B4" s="1" t="s">
        <v>216</v>
      </c>
      <c r="F4" s="1" t="s">
        <v>207</v>
      </c>
      <c r="G4" s="1" t="s">
        <v>214</v>
      </c>
      <c r="H4" s="1" t="s">
        <v>210</v>
      </c>
      <c r="I4" s="1" t="s">
        <v>220</v>
      </c>
      <c r="J4" s="7" t="s">
        <v>76</v>
      </c>
      <c r="K4" s="13">
        <v>87.678571428571431</v>
      </c>
    </row>
    <row r="5" spans="1:11" ht="30" x14ac:dyDescent="0.25">
      <c r="J5" s="7" t="s">
        <v>25</v>
      </c>
      <c r="K5" s="13">
        <v>86.535714285714278</v>
      </c>
    </row>
    <row r="6" spans="1:11" ht="30" x14ac:dyDescent="0.25">
      <c r="J6" s="7" t="s">
        <v>20</v>
      </c>
      <c r="K6" s="13">
        <v>86.285714285714292</v>
      </c>
    </row>
    <row r="7" spans="1:11" ht="45" x14ac:dyDescent="0.25">
      <c r="J7" s="7" t="s">
        <v>21</v>
      </c>
      <c r="K7" s="13">
        <v>82.535714285714292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MKCL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cvghn</dc:creator>
  <cp:lastModifiedBy>Admin</cp:lastModifiedBy>
  <dcterms:created xsi:type="dcterms:W3CDTF">2024-06-01T04:56:31Z</dcterms:created>
  <dcterms:modified xsi:type="dcterms:W3CDTF">2024-12-25T12:39:37Z</dcterms:modified>
</cp:coreProperties>
</file>