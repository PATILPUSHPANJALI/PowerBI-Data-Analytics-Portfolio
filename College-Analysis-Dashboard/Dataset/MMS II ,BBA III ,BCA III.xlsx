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MMS II" sheetId="1" r:id="rId1"/>
    <sheet name="BBA III" sheetId="2" r:id="rId2"/>
    <sheet name="BCA III" sheetId="3" r:id="rId3"/>
  </sheets>
  <definedNames>
    <definedName name="_xlnm._FilterDatabase" localSheetId="2" hidden="1">'BCA III'!$A$1:$W$19</definedName>
    <definedName name="sona">'BCA III'!$D$1</definedName>
  </definedNames>
  <calcPr calcId="144525"/>
  <extLst>
    <ext uri="GoogleSheetsCustomDataVersion2">
      <go:sheetsCustomData xmlns:go="http://customooxmlschemas.google.com/" r:id="" roundtripDataChecksum="RXKvDTeqpqTEEzOpHipE+q5PvNK1jmk8cU0Mne89lbw="/>
    </ext>
  </extLst>
</workbook>
</file>

<file path=xl/calcChain.xml><?xml version="1.0" encoding="utf-8"?>
<calcChain xmlns="http://schemas.openxmlformats.org/spreadsheetml/2006/main">
  <c r="Q2" i="2" l="1"/>
  <c r="R2" i="2" s="1"/>
  <c r="Q3" i="2"/>
  <c r="R3" i="2" s="1"/>
  <c r="Q4" i="2"/>
  <c r="R4" i="2" s="1"/>
  <c r="Q5" i="2"/>
  <c r="R5" i="2" s="1"/>
  <c r="Q6" i="2"/>
  <c r="R6" i="2" s="1"/>
  <c r="X3" i="2"/>
  <c r="X4" i="2"/>
  <c r="X5" i="2"/>
  <c r="X6" i="2"/>
  <c r="X2" i="2"/>
</calcChain>
</file>

<file path=xl/sharedStrings.xml><?xml version="1.0" encoding="utf-8"?>
<sst xmlns="http://schemas.openxmlformats.org/spreadsheetml/2006/main" count="239" uniqueCount="170">
  <si>
    <t>Sr.No.</t>
  </si>
  <si>
    <t>Seat Number</t>
  </si>
  <si>
    <t>Prn Number</t>
  </si>
  <si>
    <t>Name of Student</t>
  </si>
  <si>
    <t>MMS 3.1 CRM and Digital Marketing</t>
  </si>
  <si>
    <t>MMS 3.2 Cyber Security and IT Act</t>
  </si>
  <si>
    <t>MMS 3.3 Graphics and Animation</t>
  </si>
  <si>
    <t>MMS 3.4 Web Scripting with PHP and MySQL</t>
  </si>
  <si>
    <t>MMS 3.5 C# .NET Programming</t>
  </si>
  <si>
    <t>MMS 3.6 Lab V-Practical on Graphics, Anim. and PHP</t>
  </si>
  <si>
    <t>MMS 3.7 Lab VI-Practical on C# .Net Prog.</t>
  </si>
  <si>
    <t>MMS AC-301 (A) Computer Skills</t>
  </si>
  <si>
    <t>MMS 4.1 Human Resource Management</t>
  </si>
  <si>
    <t>MMS 4.2 E-commerce and M-commerce</t>
  </si>
  <si>
    <t>MMS 4.3 Internet Computing with ASP.NET</t>
  </si>
  <si>
    <t>MMS 4.4 Java Programming</t>
  </si>
  <si>
    <t>MMS 4.5 Project Work</t>
  </si>
  <si>
    <t>MMS 4.6 Lab VII-Practical on ASP.NET</t>
  </si>
  <si>
    <t>MMS 4.7 Lab VIII-Practical on Java Prog.</t>
  </si>
  <si>
    <t>MMS AC-401 (A) Human Rights</t>
  </si>
  <si>
    <t>CGPA</t>
  </si>
  <si>
    <t>SGPA</t>
  </si>
  <si>
    <t>TOTAL</t>
  </si>
  <si>
    <t>RESULT</t>
  </si>
  <si>
    <t xml:space="preserve">2019015400200295
</t>
  </si>
  <si>
    <t>AHIRRAO NIKITA CHANDRAKANT</t>
  </si>
  <si>
    <t>8.86/9.29</t>
  </si>
  <si>
    <t>PASS</t>
  </si>
  <si>
    <t xml:space="preserve">2019015400186045
</t>
  </si>
  <si>
    <t>MAHAJAN PRIYANKA SAHEBRAO</t>
  </si>
  <si>
    <t>51 F</t>
  </si>
  <si>
    <t>8.00/7.86</t>
  </si>
  <si>
    <t>FAIL</t>
  </si>
  <si>
    <t xml:space="preserve">2019015400201116
</t>
  </si>
  <si>
    <t>MISTRI KOMAL VINAYAK</t>
  </si>
  <si>
    <t>8.14/9.00</t>
  </si>
  <si>
    <t xml:space="preserve">2019015400200515
</t>
  </si>
  <si>
    <t>PATIL PRATIK DIPAK</t>
  </si>
  <si>
    <t>9.29/9.57</t>
  </si>
  <si>
    <t xml:space="preserve">2022015400240795
</t>
  </si>
  <si>
    <t>PATIL SHUBHANGI CHANDRAKANT</t>
  </si>
  <si>
    <t>37 F</t>
  </si>
  <si>
    <t>33 F</t>
  </si>
  <si>
    <t>34 F</t>
  </si>
  <si>
    <t>32 F</t>
  </si>
  <si>
    <t>7.29/4.29</t>
  </si>
  <si>
    <t xml:space="preserve">2019015400005352
</t>
  </si>
  <si>
    <t>RAJPUT NANDINEE KIRAN</t>
  </si>
  <si>
    <t>47 F</t>
  </si>
  <si>
    <t>50 F</t>
  </si>
  <si>
    <t>45 F</t>
  </si>
  <si>
    <t>31 F</t>
  </si>
  <si>
    <t>30 F</t>
  </si>
  <si>
    <t>3.86/0.00</t>
  </si>
  <si>
    <t>2019015400203073</t>
  </si>
  <si>
    <t>SONAWANE JAYSHRI SUNIL</t>
  </si>
  <si>
    <t>52 F</t>
  </si>
  <si>
    <t>53 F</t>
  </si>
  <si>
    <t>7.14/7.86</t>
  </si>
  <si>
    <t>2017015400360551</t>
  </si>
  <si>
    <t>TATAR MAYURI RAJENDRA</t>
  </si>
  <si>
    <t>8.71/9.00</t>
  </si>
  <si>
    <t>2012015400284546</t>
  </si>
  <si>
    <t>WAGH HANSRAJ POPAT</t>
  </si>
  <si>
    <t>5.00/6.43</t>
  </si>
  <si>
    <t>2019015400203096</t>
  </si>
  <si>
    <t>WAGH PRITI PRAKASH</t>
  </si>
  <si>
    <t>9.29/9.71</t>
  </si>
  <si>
    <t>Sr.No</t>
  </si>
  <si>
    <t>Student Name</t>
  </si>
  <si>
    <t>A5.1 International business management</t>
  </si>
  <si>
    <t>A5.2 Entrepreneurship Development</t>
  </si>
  <si>
    <t xml:space="preserve">A5.3 Case Studies in Management </t>
  </si>
  <si>
    <t>A5.4(B) Customer Relationship 
Management</t>
  </si>
  <si>
    <t>A5.5(B) Retail Management</t>
  </si>
  <si>
    <t xml:space="preserve">A5.6 Practicals on Employability Skills-I </t>
  </si>
  <si>
    <t>A5.7 Practicals based on e-Commerce</t>
  </si>
  <si>
    <t>A6.1 Management of Services</t>
  </si>
  <si>
    <t>A6.2 Family Business Management</t>
  </si>
  <si>
    <t>A6.3 Cyber Security &amp; Laws</t>
  </si>
  <si>
    <t>A6.4(B) e-commerce and Digital Marketing</t>
  </si>
  <si>
    <t xml:space="preserve"> A6.5(B) Product and Brand Management</t>
  </si>
  <si>
    <t>A6.6 Practicals on Employability Skills-II</t>
  </si>
  <si>
    <t xml:space="preserve"> A6.7 Project Report based on Elective 
Group</t>
  </si>
  <si>
    <t>Grade</t>
  </si>
  <si>
    <t>DOSHI SAURAV VINAY</t>
  </si>
  <si>
    <t>8.43/8.86</t>
  </si>
  <si>
    <t xml:space="preserve">pass </t>
  </si>
  <si>
    <t>A+</t>
  </si>
  <si>
    <t>JADHAV CHANDRAKANT SANJAY</t>
  </si>
  <si>
    <t>9.00/9.43</t>
  </si>
  <si>
    <t>SHAIKH SAHIL SHAFI</t>
  </si>
  <si>
    <t>49 F</t>
  </si>
  <si>
    <t>8.14/7.43</t>
  </si>
  <si>
    <t>SHIRODE ADITYA NARENDRA</t>
  </si>
  <si>
    <t>8.00/9.00</t>
  </si>
  <si>
    <t>YEOLEKAR AKSHAY SUNIL</t>
  </si>
  <si>
    <t>8.14/8.57</t>
  </si>
  <si>
    <t>A</t>
  </si>
  <si>
    <t>Sr No</t>
  </si>
  <si>
    <t xml:space="preserve">BCA 501 Entrepreneurship Development </t>
  </si>
  <si>
    <t xml:space="preserve"> BCA 502 Cyber Security </t>
  </si>
  <si>
    <t>BCA 503 ASP.NET</t>
  </si>
  <si>
    <t xml:space="preserve"> BCA 504 Software Engineering </t>
  </si>
  <si>
    <t>BCA 505 Practical on ASP.Net</t>
  </si>
  <si>
    <t>BCA 506 ractical on CASE Tool with MS_x0002_VISIO and Software Testin</t>
  </si>
  <si>
    <t xml:space="preserve">BCA 507 Field Work on IT Project 
Assessment </t>
  </si>
  <si>
    <t>BCA 601 E-Commerce &amp; M-Commerce</t>
  </si>
  <si>
    <t>BCA 602 Cloud Computing</t>
  </si>
  <si>
    <t>BCA 603 Android Application Development</t>
  </si>
  <si>
    <t>BCA 604 Server Side Scripting using PHP</t>
  </si>
  <si>
    <t>BCA 605 Practical on Android &amp;PHP</t>
  </si>
  <si>
    <t>BCA 606 Practical on Employability Skills</t>
  </si>
  <si>
    <t>BCA 607 Project Report and Viva</t>
  </si>
  <si>
    <t>GRADE</t>
  </si>
  <si>
    <t>2021015400090822</t>
  </si>
  <si>
    <t>BAVISKAR KUNAL BHALERAO</t>
  </si>
  <si>
    <t>7.29/8.29</t>
  </si>
  <si>
    <t>Pass</t>
  </si>
  <si>
    <t>A Grade</t>
  </si>
  <si>
    <t xml:space="preserve">2021015400073352
</t>
  </si>
  <si>
    <t>BHAMARE SUJATA SANJAY</t>
  </si>
  <si>
    <t>8.43/9.29</t>
  </si>
  <si>
    <t>A+ Grade</t>
  </si>
  <si>
    <t>2021015400073383</t>
  </si>
  <si>
    <t>BORASE VIKAS SANJAY</t>
  </si>
  <si>
    <t>6.14/5.71</t>
  </si>
  <si>
    <t>2016015400402103</t>
  </si>
  <si>
    <t>CHAUDHARI SWAPNIL ANIL</t>
  </si>
  <si>
    <t>9.14/9.43</t>
  </si>
  <si>
    <t>2021015400073321</t>
  </si>
  <si>
    <t>DEORE AVINASH ARUN</t>
  </si>
  <si>
    <t>8.86/9.57</t>
  </si>
  <si>
    <t xml:space="preserve">2021015400073313
</t>
  </si>
  <si>
    <t>DEORE CHETAN SHIVAJI</t>
  </si>
  <si>
    <t xml:space="preserve">2021015400073336
</t>
  </si>
  <si>
    <t>DESALE HARSHADA SHAHAJI</t>
  </si>
  <si>
    <t>44 F</t>
  </si>
  <si>
    <t>7.57/7.43</t>
  </si>
  <si>
    <t>2021015400073514</t>
  </si>
  <si>
    <t>KHARE PRASHANT MADHUKAR</t>
  </si>
  <si>
    <t>9.14/9.71</t>
  </si>
  <si>
    <t xml:space="preserve">2021015400073506
</t>
  </si>
  <si>
    <t>MOHAMMED JAWAAD SHAIKH FAZLURRAHMAN</t>
  </si>
  <si>
    <t>8.57/6.57</t>
  </si>
  <si>
    <t>2021015400284561</t>
  </si>
  <si>
    <t>PATIL HARSHAWARDHAN ARUN</t>
  </si>
  <si>
    <t>2021015400073367</t>
  </si>
  <si>
    <t>PATIL SHUBHANGI ADHIKAR</t>
  </si>
  <si>
    <t>2021015400284576</t>
  </si>
  <si>
    <t>PATVE SHEKH SHAHID SHEKH AYUB</t>
  </si>
  <si>
    <t>9.43/9.43</t>
  </si>
  <si>
    <t>O Grade</t>
  </si>
  <si>
    <t>2021015400073375</t>
  </si>
  <si>
    <t>SANER SANJANA SHARAD</t>
  </si>
  <si>
    <t>2021015400073495</t>
  </si>
  <si>
    <t>SHAIKH UZAIR NAZIMODDIN</t>
  </si>
  <si>
    <t xml:space="preserve">2020015400113822
</t>
  </si>
  <si>
    <t>SONAR HIMANSHU ANIL</t>
  </si>
  <si>
    <t>2021015400229823</t>
  </si>
  <si>
    <t>SONAWANE LOKESH BHATU</t>
  </si>
  <si>
    <t xml:space="preserve">2021015400073425
</t>
  </si>
  <si>
    <t>TAWADE GAURI SATISH</t>
  </si>
  <si>
    <t>8.00/8.71</t>
  </si>
  <si>
    <t>2021015400073417</t>
  </si>
  <si>
    <t>UPASANI PRASAD SUNIL</t>
  </si>
  <si>
    <t>7.00/8.86</t>
  </si>
  <si>
    <t>TOTAL MARKS OF TY</t>
  </si>
  <si>
    <t>Percentage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</si>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</sst>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scheme val="minor"/>
    </font>
    <font>
      <b/>
      <sz val="10"/>
      <color rgb="FF000000"/>
      <name val="Arial"/>
    </font>
    <font>
      <sz val="9"/>
      <color rgb="FF333333"/>
      <name val="Calibri"/>
    </font>
    <font>
      <sz val="9"/>
      <color rgb="FF000000"/>
      <name val="Calibri"/>
    </font>
    <font>
      <sz val="9"/>
      <color theme="1"/>
      <name val="Calibri"/>
    </font>
    <font>
      <sz val="11"/>
      <color theme="1"/>
      <name val="Calibri"/>
    </font>
    <font>
      <sz val="11"/>
      <color rgb="FF333333"/>
      <name val="Calibri"/>
    </font>
    <font>
      <sz val="8"/>
      <color rgb="FF333333"/>
      <name val="Verdana"/>
    </font>
    <font>
      <sz val="8"/>
      <color rgb="FF000000"/>
      <name val="Verdana"/>
    </font>
    <font>
      <b/>
      <sz val="8"/>
      <color theme="1"/>
      <name val="Verdana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2" fontId="8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7" fillId="2" borderId="1" xfId="0" applyFont="1" applyFill="1" applyBorder="1" applyAlignment="1">
      <alignment horizontal="right" wrapText="1"/>
    </xf>
    <xf numFmtId="0" fontId="5" fillId="0" borderId="1" xfId="0" applyFont="1" applyBorder="1"/>
    <xf numFmtId="0" fontId="8" fillId="0" borderId="1" xfId="0" applyFont="1" applyBorder="1" applyAlignment="1">
      <alignment horizontal="right" vertical="center" wrapText="1"/>
    </xf>
    <xf numFmtId="164" fontId="8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10" fillId="0" borderId="1" xfId="0" applyFont="1" applyBorder="1"/>
    <xf numFmtId="2" fontId="0" fillId="0" borderId="0" xfId="0" applyNumberForma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2" fontId="5" fillId="0" borderId="0" xfId="0" applyNumberFormat="1" applyFont="1" applyBorder="1" applyAlignment="1">
      <alignment horizontal="center" vertical="center" wrapText="1"/>
    </xf>
    <xf numFmtId="2" fontId="1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24"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X6" totalsRowShown="0">
  <autoFilter ref="A1:X6"/>
  <tableColumns count="24">
    <tableColumn id="1" name="Sr.No" dataDxfId="23"/>
    <tableColumn id="2" name="Student Name" dataDxfId="22"/>
    <tableColumn id="3" name="A5.1 International business management" dataDxfId="21"/>
    <tableColumn id="4" name="A5.2 Entrepreneurship Development" dataDxfId="20"/>
    <tableColumn id="5" name="A5.3 Case Studies in Management " dataDxfId="19"/>
    <tableColumn id="6" name="A5.4(B) Customer Relationship _x000a_Management" dataDxfId="18"/>
    <tableColumn id="7" name="A5.5(B) Retail Management" dataDxfId="17"/>
    <tableColumn id="8" name="A5.6 Practicals on Employability Skills-I " dataDxfId="16"/>
    <tableColumn id="9" name="A5.7 Practicals based on e-Commerce" dataDxfId="15"/>
    <tableColumn id="10" name="A6.1 Management of Services" dataDxfId="14"/>
    <tableColumn id="11" name="A6.2 Family Business Management" dataDxfId="13"/>
    <tableColumn id="12" name="A6.3 Cyber Security &amp; Laws" dataDxfId="12"/>
    <tableColumn id="13" name="A6.4(B) e-commerce and Digital Marketing" dataDxfId="11"/>
    <tableColumn id="14" name=" A6.5(B) Product and Brand Management" dataDxfId="10"/>
    <tableColumn id="15" name="A6.6 Practicals on Employability Skills-II" dataDxfId="9"/>
    <tableColumn id="16" name=" A6.7 Project Report based on Elective _x000a_Group" dataDxfId="8"/>
    <tableColumn id="26" name="TOTAL MARKS OF TY" dataDxfId="7">
      <calculatedColumnFormula>SUM(Table1[[#This Row],[A5.1 International business management]:[ A6.7 Project Report based on Elective 
Group]])</calculatedColumnFormula>
    </tableColumn>
    <tableColumn id="28" name="Percentage" dataDxfId="6">
      <calculatedColumnFormula>Table1[[#This Row],[TOTAL MARKS OF TY]]/14</calculatedColumnFormula>
    </tableColumn>
    <tableColumn id="17" name="CGPA" dataDxfId="5"/>
    <tableColumn id="18" name="SGPA" dataDxfId="4"/>
    <tableColumn id="19" name="TOTAL" dataDxfId="3"/>
    <tableColumn id="20" name="RESULT" dataDxfId="2"/>
    <tableColumn id="21" name="Grade" dataDxfId="1"/>
    <tableColumn id="22" name="TOTAL PERCENTAGE" dataDxfId="0">
      <calculatedColumnFormula>U2/42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sqref="A1:X11"/>
    </sheetView>
  </sheetViews>
  <sheetFormatPr defaultColWidth="14.42578125" defaultRowHeight="15" customHeight="1" x14ac:dyDescent="0.25"/>
  <cols>
    <col min="1" max="1" width="6.5703125" customWidth="1"/>
    <col min="2" max="2" width="8.140625" customWidth="1"/>
    <col min="3" max="3" width="19.85546875" customWidth="1"/>
    <col min="4" max="4" width="22.28515625" customWidth="1"/>
    <col min="5" max="5" width="8.28515625" customWidth="1"/>
    <col min="6" max="18" width="8.7109375" customWidth="1"/>
    <col min="19" max="19" width="9.85546875" customWidth="1"/>
    <col min="20" max="26" width="8.7109375" customWidth="1"/>
  </cols>
  <sheetData>
    <row r="1" spans="1:24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21" x14ac:dyDescent="0.25">
      <c r="A2" s="8">
        <v>1</v>
      </c>
      <c r="B2" s="8">
        <v>836420</v>
      </c>
      <c r="C2" s="9" t="s">
        <v>24</v>
      </c>
      <c r="D2" s="8" t="s">
        <v>25</v>
      </c>
      <c r="E2" s="10">
        <v>67</v>
      </c>
      <c r="F2" s="11">
        <v>71</v>
      </c>
      <c r="G2" s="10">
        <v>74</v>
      </c>
      <c r="H2" s="10">
        <v>67</v>
      </c>
      <c r="I2" s="10">
        <v>63</v>
      </c>
      <c r="J2" s="10">
        <v>95</v>
      </c>
      <c r="K2" s="10">
        <v>95</v>
      </c>
      <c r="L2" s="10">
        <v>92</v>
      </c>
      <c r="M2" s="10">
        <v>80</v>
      </c>
      <c r="N2" s="10">
        <v>75</v>
      </c>
      <c r="O2" s="10">
        <v>69</v>
      </c>
      <c r="P2" s="10">
        <v>63</v>
      </c>
      <c r="Q2" s="10">
        <v>89</v>
      </c>
      <c r="R2" s="10">
        <v>91</v>
      </c>
      <c r="S2" s="10">
        <v>93</v>
      </c>
      <c r="T2" s="10">
        <v>86</v>
      </c>
      <c r="U2" s="10">
        <v>8.75</v>
      </c>
      <c r="V2" s="10" t="s">
        <v>26</v>
      </c>
      <c r="W2" s="10">
        <v>2092</v>
      </c>
      <c r="X2" s="12" t="s">
        <v>27</v>
      </c>
    </row>
    <row r="3" spans="1:24" ht="21" x14ac:dyDescent="0.25">
      <c r="A3" s="8">
        <v>2</v>
      </c>
      <c r="B3" s="8">
        <v>836449</v>
      </c>
      <c r="C3" s="9" t="s">
        <v>28</v>
      </c>
      <c r="D3" s="8" t="s">
        <v>29</v>
      </c>
      <c r="E3" s="12">
        <v>58</v>
      </c>
      <c r="F3" s="8">
        <v>55</v>
      </c>
      <c r="G3" s="8">
        <v>74</v>
      </c>
      <c r="H3" s="8">
        <v>59</v>
      </c>
      <c r="I3" s="8">
        <v>54</v>
      </c>
      <c r="J3" s="8">
        <v>85</v>
      </c>
      <c r="K3" s="8">
        <v>86</v>
      </c>
      <c r="L3" s="8">
        <v>84</v>
      </c>
      <c r="M3" s="8">
        <v>67</v>
      </c>
      <c r="N3" s="8">
        <v>75</v>
      </c>
      <c r="O3" s="8">
        <v>67</v>
      </c>
      <c r="P3" s="13" t="s">
        <v>30</v>
      </c>
      <c r="Q3" s="8">
        <v>87</v>
      </c>
      <c r="R3" s="8">
        <v>88</v>
      </c>
      <c r="S3" s="8">
        <v>90</v>
      </c>
      <c r="T3" s="8">
        <v>82</v>
      </c>
      <c r="U3" s="8">
        <v>8.2899999999999991</v>
      </c>
      <c r="V3" s="14" t="s">
        <v>31</v>
      </c>
      <c r="W3" s="8">
        <v>2009</v>
      </c>
      <c r="X3" s="12" t="s">
        <v>32</v>
      </c>
    </row>
    <row r="4" spans="1:24" ht="21" x14ac:dyDescent="0.25">
      <c r="A4" s="8">
        <v>3</v>
      </c>
      <c r="B4" s="8">
        <v>836452</v>
      </c>
      <c r="C4" s="9" t="s">
        <v>33</v>
      </c>
      <c r="D4" s="8" t="s">
        <v>34</v>
      </c>
      <c r="E4" s="12">
        <v>60</v>
      </c>
      <c r="F4" s="8">
        <v>58</v>
      </c>
      <c r="G4" s="15">
        <v>59</v>
      </c>
      <c r="H4" s="12">
        <v>58</v>
      </c>
      <c r="I4" s="12">
        <v>69</v>
      </c>
      <c r="J4" s="12">
        <v>85</v>
      </c>
      <c r="K4" s="12">
        <v>85</v>
      </c>
      <c r="L4" s="12">
        <v>82</v>
      </c>
      <c r="M4" s="12">
        <v>72</v>
      </c>
      <c r="N4" s="12">
        <v>64</v>
      </c>
      <c r="O4" s="12">
        <v>64</v>
      </c>
      <c r="P4" s="12">
        <v>60</v>
      </c>
      <c r="Q4" s="12">
        <v>90</v>
      </c>
      <c r="R4" s="12">
        <v>91</v>
      </c>
      <c r="S4" s="12">
        <v>89</v>
      </c>
      <c r="T4" s="12">
        <v>85</v>
      </c>
      <c r="U4" s="12">
        <v>8.7100000000000009</v>
      </c>
      <c r="V4" s="12" t="s">
        <v>35</v>
      </c>
      <c r="W4" s="12">
        <v>2038</v>
      </c>
      <c r="X4" s="12" t="s">
        <v>27</v>
      </c>
    </row>
    <row r="5" spans="1:24" ht="21" x14ac:dyDescent="0.25">
      <c r="A5" s="8">
        <v>4</v>
      </c>
      <c r="B5" s="8">
        <v>836463</v>
      </c>
      <c r="C5" s="9" t="s">
        <v>36</v>
      </c>
      <c r="D5" s="8" t="s">
        <v>37</v>
      </c>
      <c r="E5" s="12">
        <v>68</v>
      </c>
      <c r="F5" s="8">
        <v>77</v>
      </c>
      <c r="G5" s="16">
        <v>82</v>
      </c>
      <c r="H5" s="12">
        <v>85</v>
      </c>
      <c r="I5" s="12">
        <v>63</v>
      </c>
      <c r="J5" s="12">
        <v>96</v>
      </c>
      <c r="K5" s="12">
        <v>94</v>
      </c>
      <c r="L5" s="12">
        <v>92</v>
      </c>
      <c r="M5" s="12">
        <v>79</v>
      </c>
      <c r="N5" s="12">
        <v>86</v>
      </c>
      <c r="O5" s="12">
        <v>87</v>
      </c>
      <c r="P5" s="12">
        <v>64</v>
      </c>
      <c r="Q5" s="12">
        <v>95</v>
      </c>
      <c r="R5" s="12">
        <v>95</v>
      </c>
      <c r="S5" s="12">
        <v>97</v>
      </c>
      <c r="T5" s="12">
        <v>89</v>
      </c>
      <c r="U5" s="12">
        <v>9.2899999999999991</v>
      </c>
      <c r="V5" s="12" t="s">
        <v>38</v>
      </c>
      <c r="W5" s="12">
        <v>2263</v>
      </c>
      <c r="X5" s="12" t="s">
        <v>27</v>
      </c>
    </row>
    <row r="6" spans="1:24" ht="21" x14ac:dyDescent="0.25">
      <c r="A6" s="8">
        <v>5</v>
      </c>
      <c r="B6" s="8">
        <v>836464</v>
      </c>
      <c r="C6" s="9" t="s">
        <v>39</v>
      </c>
      <c r="D6" s="8" t="s">
        <v>40</v>
      </c>
      <c r="E6" s="12">
        <v>61</v>
      </c>
      <c r="F6" s="8">
        <v>61</v>
      </c>
      <c r="G6" s="8">
        <v>73</v>
      </c>
      <c r="H6" s="8">
        <v>54</v>
      </c>
      <c r="I6" s="17" t="s">
        <v>41</v>
      </c>
      <c r="J6" s="8">
        <v>82</v>
      </c>
      <c r="K6" s="8">
        <v>81</v>
      </c>
      <c r="L6" s="8">
        <v>78</v>
      </c>
      <c r="M6" s="17" t="s">
        <v>42</v>
      </c>
      <c r="N6" s="17" t="s">
        <v>43</v>
      </c>
      <c r="O6" s="18" t="s">
        <v>43</v>
      </c>
      <c r="P6" s="13" t="s">
        <v>44</v>
      </c>
      <c r="Q6" s="8">
        <v>82</v>
      </c>
      <c r="R6" s="8">
        <v>84</v>
      </c>
      <c r="S6" s="8">
        <v>86</v>
      </c>
      <c r="T6" s="8">
        <v>79</v>
      </c>
      <c r="U6" s="8">
        <v>6.96</v>
      </c>
      <c r="V6" s="8" t="s">
        <v>45</v>
      </c>
      <c r="W6" s="8">
        <v>1762</v>
      </c>
      <c r="X6" s="12" t="s">
        <v>32</v>
      </c>
    </row>
    <row r="7" spans="1:24" ht="21" x14ac:dyDescent="0.25">
      <c r="A7" s="8">
        <v>6</v>
      </c>
      <c r="B7" s="8">
        <v>836472</v>
      </c>
      <c r="C7" s="9" t="s">
        <v>46</v>
      </c>
      <c r="D7" s="8" t="s">
        <v>47</v>
      </c>
      <c r="E7" s="17" t="s">
        <v>48</v>
      </c>
      <c r="F7" s="13" t="s">
        <v>49</v>
      </c>
      <c r="G7" s="8">
        <v>56</v>
      </c>
      <c r="H7" s="13" t="s">
        <v>50</v>
      </c>
      <c r="I7" s="13" t="s">
        <v>50</v>
      </c>
      <c r="J7" s="8">
        <v>83</v>
      </c>
      <c r="K7" s="8">
        <v>86</v>
      </c>
      <c r="L7" s="8">
        <v>80</v>
      </c>
      <c r="M7" s="13" t="s">
        <v>51</v>
      </c>
      <c r="N7" s="13" t="s">
        <v>42</v>
      </c>
      <c r="O7" s="13" t="s">
        <v>44</v>
      </c>
      <c r="P7" s="13" t="s">
        <v>52</v>
      </c>
      <c r="Q7" s="13" t="s">
        <v>52</v>
      </c>
      <c r="R7" s="13" t="s">
        <v>44</v>
      </c>
      <c r="S7" s="13" t="s">
        <v>42</v>
      </c>
      <c r="T7" s="8">
        <v>74</v>
      </c>
      <c r="U7" s="8">
        <v>4.68</v>
      </c>
      <c r="V7" s="8" t="s">
        <v>53</v>
      </c>
      <c r="W7" s="8">
        <v>1513</v>
      </c>
      <c r="X7" s="12" t="s">
        <v>32</v>
      </c>
    </row>
    <row r="8" spans="1:24" ht="21" x14ac:dyDescent="0.25">
      <c r="A8" s="8">
        <v>7</v>
      </c>
      <c r="B8" s="8">
        <v>836485</v>
      </c>
      <c r="C8" s="9" t="s">
        <v>54</v>
      </c>
      <c r="D8" s="8" t="s">
        <v>55</v>
      </c>
      <c r="E8" s="12">
        <v>64</v>
      </c>
      <c r="F8" s="8">
        <v>54</v>
      </c>
      <c r="G8" s="8">
        <v>73</v>
      </c>
      <c r="H8" s="16">
        <v>56</v>
      </c>
      <c r="I8" s="13" t="s">
        <v>56</v>
      </c>
      <c r="J8" s="8">
        <v>82</v>
      </c>
      <c r="K8" s="8">
        <v>82</v>
      </c>
      <c r="L8" s="8">
        <v>76</v>
      </c>
      <c r="M8" s="8">
        <v>70</v>
      </c>
      <c r="N8" s="8">
        <v>75</v>
      </c>
      <c r="O8" s="8">
        <v>58</v>
      </c>
      <c r="P8" s="13" t="s">
        <v>57</v>
      </c>
      <c r="Q8" s="8">
        <v>85</v>
      </c>
      <c r="R8" s="8">
        <v>83</v>
      </c>
      <c r="S8" s="8">
        <v>87</v>
      </c>
      <c r="T8" s="8">
        <v>80</v>
      </c>
      <c r="U8" s="8">
        <v>7.68</v>
      </c>
      <c r="V8" s="8" t="s">
        <v>58</v>
      </c>
      <c r="W8" s="8">
        <v>1864</v>
      </c>
      <c r="X8" s="12" t="s">
        <v>32</v>
      </c>
    </row>
    <row r="9" spans="1:24" ht="21" x14ac:dyDescent="0.25">
      <c r="A9" s="8">
        <v>8</v>
      </c>
      <c r="B9" s="8">
        <v>836489</v>
      </c>
      <c r="C9" s="9" t="s">
        <v>59</v>
      </c>
      <c r="D9" s="8" t="s">
        <v>60</v>
      </c>
      <c r="E9" s="12">
        <v>72</v>
      </c>
      <c r="F9" s="8">
        <v>60</v>
      </c>
      <c r="G9" s="8">
        <v>74</v>
      </c>
      <c r="H9" s="8">
        <v>63</v>
      </c>
      <c r="I9" s="8">
        <v>55</v>
      </c>
      <c r="J9" s="8">
        <v>84</v>
      </c>
      <c r="K9" s="8">
        <v>86</v>
      </c>
      <c r="L9" s="8">
        <v>78</v>
      </c>
      <c r="M9" s="8">
        <v>68</v>
      </c>
      <c r="N9" s="5">
        <v>77</v>
      </c>
      <c r="O9" s="8">
        <v>65</v>
      </c>
      <c r="P9" s="8">
        <v>61</v>
      </c>
      <c r="Q9" s="8">
        <v>88</v>
      </c>
      <c r="R9" s="8">
        <v>89</v>
      </c>
      <c r="S9" s="8">
        <v>85</v>
      </c>
      <c r="T9" s="8">
        <v>81</v>
      </c>
      <c r="U9" s="8">
        <v>8.61</v>
      </c>
      <c r="V9" s="12" t="s">
        <v>61</v>
      </c>
      <c r="W9" s="8">
        <v>1990</v>
      </c>
      <c r="X9" s="12" t="s">
        <v>27</v>
      </c>
    </row>
    <row r="10" spans="1:24" x14ac:dyDescent="0.25">
      <c r="A10" s="8">
        <v>9</v>
      </c>
      <c r="B10" s="8">
        <v>836493</v>
      </c>
      <c r="C10" s="9" t="s">
        <v>62</v>
      </c>
      <c r="D10" s="8" t="s">
        <v>63</v>
      </c>
      <c r="E10" s="12">
        <v>45</v>
      </c>
      <c r="F10" s="8">
        <v>61</v>
      </c>
      <c r="G10" s="8">
        <v>63</v>
      </c>
      <c r="H10" s="17" t="s">
        <v>48</v>
      </c>
      <c r="I10" s="17" t="s">
        <v>41</v>
      </c>
      <c r="J10" s="8">
        <v>78</v>
      </c>
      <c r="K10" s="8">
        <v>82</v>
      </c>
      <c r="L10" s="8">
        <v>72</v>
      </c>
      <c r="M10" s="8">
        <v>59</v>
      </c>
      <c r="N10" s="8">
        <v>67</v>
      </c>
      <c r="O10" s="13" t="s">
        <v>56</v>
      </c>
      <c r="P10" s="17" t="s">
        <v>42</v>
      </c>
      <c r="Q10" s="8">
        <v>80</v>
      </c>
      <c r="R10" s="8">
        <v>82</v>
      </c>
      <c r="S10" s="8">
        <v>82</v>
      </c>
      <c r="T10" s="8">
        <v>75</v>
      </c>
      <c r="U10" s="8">
        <v>6.64</v>
      </c>
      <c r="V10" s="12" t="s">
        <v>64</v>
      </c>
      <c r="W10" s="8">
        <v>1759</v>
      </c>
      <c r="X10" s="12" t="s">
        <v>32</v>
      </c>
    </row>
    <row r="11" spans="1:24" x14ac:dyDescent="0.25">
      <c r="A11" s="8">
        <v>10</v>
      </c>
      <c r="B11" s="8">
        <v>836496</v>
      </c>
      <c r="C11" s="9" t="s">
        <v>65</v>
      </c>
      <c r="D11" s="8" t="s">
        <v>66</v>
      </c>
      <c r="E11" s="12">
        <v>74</v>
      </c>
      <c r="F11" s="8">
        <v>62</v>
      </c>
      <c r="G11" s="8">
        <v>83</v>
      </c>
      <c r="H11" s="8">
        <v>73</v>
      </c>
      <c r="I11" s="8">
        <v>70</v>
      </c>
      <c r="J11" s="8">
        <v>93</v>
      </c>
      <c r="K11" s="8">
        <v>91</v>
      </c>
      <c r="L11" s="8">
        <v>88</v>
      </c>
      <c r="M11" s="8">
        <v>85</v>
      </c>
      <c r="N11" s="8">
        <v>81</v>
      </c>
      <c r="O11" s="8">
        <v>88</v>
      </c>
      <c r="P11" s="8">
        <v>65</v>
      </c>
      <c r="Q11" s="8">
        <v>92</v>
      </c>
      <c r="R11" s="8">
        <v>94</v>
      </c>
      <c r="S11" s="8">
        <v>94</v>
      </c>
      <c r="T11" s="8">
        <v>88</v>
      </c>
      <c r="U11" s="8">
        <v>9.43</v>
      </c>
      <c r="V11" s="12" t="s">
        <v>67</v>
      </c>
      <c r="W11" s="8">
        <v>2288</v>
      </c>
      <c r="X11" s="12" t="s">
        <v>27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K1" workbookViewId="0">
      <selection sqref="A1:X6"/>
    </sheetView>
  </sheetViews>
  <sheetFormatPr defaultColWidth="14.42578125" defaultRowHeight="15" customHeight="1" x14ac:dyDescent="0.25"/>
  <cols>
    <col min="1" max="1" width="8.140625" customWidth="1"/>
    <col min="2" max="2" width="30.140625" style="36" bestFit="1" customWidth="1"/>
    <col min="3" max="3" width="42.7109375" bestFit="1" customWidth="1"/>
    <col min="4" max="4" width="35.5703125" customWidth="1"/>
    <col min="5" max="5" width="33.42578125" customWidth="1"/>
    <col min="6" max="6" width="16.5703125" bestFit="1" customWidth="1"/>
    <col min="7" max="7" width="27.42578125" customWidth="1"/>
    <col min="8" max="8" width="37.7109375" customWidth="1"/>
    <col min="9" max="9" width="36" customWidth="1"/>
    <col min="10" max="10" width="29.28515625" customWidth="1"/>
    <col min="11" max="11" width="33.7109375" customWidth="1"/>
    <col min="12" max="12" width="26.85546875" customWidth="1"/>
    <col min="13" max="13" width="40.5703125" customWidth="1"/>
    <col min="14" max="14" width="38.85546875" customWidth="1"/>
    <col min="15" max="15" width="37.85546875" customWidth="1"/>
    <col min="16" max="16" width="18.7109375" customWidth="1"/>
    <col min="17" max="17" width="23.7109375" bestFit="1" customWidth="1"/>
    <col min="18" max="18" width="23.7109375" style="23" customWidth="1"/>
    <col min="19" max="19" width="10.5703125" bestFit="1" customWidth="1"/>
    <col min="20" max="20" width="9" bestFit="1" customWidth="1"/>
    <col min="21" max="21" width="8.7109375" customWidth="1"/>
    <col min="22" max="22" width="9.5703125" customWidth="1"/>
    <col min="23" max="23" width="8.5703125" customWidth="1"/>
    <col min="24" max="24" width="14.7109375" style="23" customWidth="1"/>
    <col min="25" max="25" width="8.7109375" customWidth="1"/>
  </cols>
  <sheetData>
    <row r="1" spans="1:24" s="29" customFormat="1" ht="51" customHeight="1" x14ac:dyDescent="0.25">
      <c r="A1" s="24" t="s">
        <v>68</v>
      </c>
      <c r="B1" s="25" t="s">
        <v>69</v>
      </c>
      <c r="C1" s="26" t="s">
        <v>70</v>
      </c>
      <c r="D1" s="26" t="s">
        <v>71</v>
      </c>
      <c r="E1" s="26" t="s">
        <v>72</v>
      </c>
      <c r="F1" s="26" t="s">
        <v>73</v>
      </c>
      <c r="G1" s="26" t="s">
        <v>74</v>
      </c>
      <c r="H1" s="26" t="s">
        <v>75</v>
      </c>
      <c r="I1" s="26" t="s">
        <v>76</v>
      </c>
      <c r="J1" s="26" t="s">
        <v>77</v>
      </c>
      <c r="K1" s="26" t="s">
        <v>78</v>
      </c>
      <c r="L1" s="26" t="s">
        <v>79</v>
      </c>
      <c r="M1" s="26" t="s">
        <v>80</v>
      </c>
      <c r="N1" s="26" t="s">
        <v>81</v>
      </c>
      <c r="O1" s="26" t="s">
        <v>82</v>
      </c>
      <c r="P1" s="27" t="s">
        <v>83</v>
      </c>
      <c r="Q1" s="27" t="s">
        <v>167</v>
      </c>
      <c r="R1" s="37" t="s">
        <v>168</v>
      </c>
      <c r="S1" s="27" t="s">
        <v>20</v>
      </c>
      <c r="T1" s="27" t="s">
        <v>21</v>
      </c>
      <c r="U1" s="27" t="s">
        <v>22</v>
      </c>
      <c r="V1" s="27" t="s">
        <v>23</v>
      </c>
      <c r="W1" s="27" t="s">
        <v>84</v>
      </c>
      <c r="X1" s="28" t="s">
        <v>169</v>
      </c>
    </row>
    <row r="2" spans="1:24" x14ac:dyDescent="0.25">
      <c r="A2" s="30">
        <v>1</v>
      </c>
      <c r="B2" s="35" t="s">
        <v>85</v>
      </c>
      <c r="C2" s="31">
        <v>69</v>
      </c>
      <c r="D2" s="31">
        <v>66</v>
      </c>
      <c r="E2" s="31">
        <v>69</v>
      </c>
      <c r="F2" s="31">
        <v>74</v>
      </c>
      <c r="G2" s="31">
        <v>59</v>
      </c>
      <c r="H2" s="31">
        <v>84</v>
      </c>
      <c r="I2" s="31">
        <v>77</v>
      </c>
      <c r="J2" s="31">
        <v>68</v>
      </c>
      <c r="K2" s="31">
        <v>64</v>
      </c>
      <c r="L2" s="31">
        <v>75</v>
      </c>
      <c r="M2" s="31">
        <v>69</v>
      </c>
      <c r="N2" s="31">
        <v>70</v>
      </c>
      <c r="O2" s="31">
        <v>90</v>
      </c>
      <c r="P2" s="32">
        <v>87</v>
      </c>
      <c r="Q2" s="32">
        <f>SUM(Table1[[#This Row],[A5.1 International business management]:[ A6.7 Project Report based on Elective 
Group]])</f>
        <v>1021</v>
      </c>
      <c r="R2" s="38">
        <f>Table1[[#This Row],[TOTAL MARKS OF TY]]/14</f>
        <v>72.928571428571431</v>
      </c>
      <c r="S2" s="32">
        <v>8.75</v>
      </c>
      <c r="T2" s="32" t="s">
        <v>86</v>
      </c>
      <c r="U2" s="32">
        <v>3177</v>
      </c>
      <c r="V2" s="39" t="s">
        <v>87</v>
      </c>
      <c r="W2" s="32" t="s">
        <v>88</v>
      </c>
      <c r="X2" s="33">
        <f>U2/42</f>
        <v>75.642857142857139</v>
      </c>
    </row>
    <row r="3" spans="1:24" x14ac:dyDescent="0.25">
      <c r="A3" s="30">
        <v>2</v>
      </c>
      <c r="B3" s="35" t="s">
        <v>89</v>
      </c>
      <c r="C3" s="31">
        <v>77</v>
      </c>
      <c r="D3" s="31">
        <v>81</v>
      </c>
      <c r="E3" s="31">
        <v>67</v>
      </c>
      <c r="F3" s="31">
        <v>78</v>
      </c>
      <c r="G3" s="31">
        <v>66</v>
      </c>
      <c r="H3" s="31">
        <v>77</v>
      </c>
      <c r="I3" s="31">
        <v>85</v>
      </c>
      <c r="J3" s="31">
        <v>82</v>
      </c>
      <c r="K3" s="31">
        <v>72</v>
      </c>
      <c r="L3" s="31">
        <v>81</v>
      </c>
      <c r="M3" s="31">
        <v>70</v>
      </c>
      <c r="N3" s="31">
        <v>69</v>
      </c>
      <c r="O3" s="31">
        <v>92</v>
      </c>
      <c r="P3" s="32">
        <v>90</v>
      </c>
      <c r="Q3" s="32">
        <f>SUM(Table1[[#This Row],[A5.1 International business management]:[ A6.7 Project Report based on Elective 
Group]])</f>
        <v>1087</v>
      </c>
      <c r="R3" s="38">
        <f>Table1[[#This Row],[TOTAL MARKS OF TY]]/14</f>
        <v>77.642857142857139</v>
      </c>
      <c r="S3" s="32">
        <v>8.85</v>
      </c>
      <c r="T3" s="32" t="s">
        <v>90</v>
      </c>
      <c r="U3" s="32">
        <v>3232</v>
      </c>
      <c r="V3" s="39" t="s">
        <v>87</v>
      </c>
      <c r="W3" s="32" t="s">
        <v>88</v>
      </c>
      <c r="X3" s="33">
        <f t="shared" ref="X3:X6" si="0">U3/42</f>
        <v>76.952380952380949</v>
      </c>
    </row>
    <row r="4" spans="1:24" x14ac:dyDescent="0.25">
      <c r="A4" s="30">
        <v>3</v>
      </c>
      <c r="B4" s="35" t="s">
        <v>91</v>
      </c>
      <c r="C4" s="31">
        <v>55</v>
      </c>
      <c r="D4" s="31">
        <v>60</v>
      </c>
      <c r="E4" s="31">
        <v>63</v>
      </c>
      <c r="F4" s="31">
        <v>56</v>
      </c>
      <c r="G4" s="31">
        <v>57</v>
      </c>
      <c r="H4" s="31">
        <v>80</v>
      </c>
      <c r="I4" s="31">
        <v>80</v>
      </c>
      <c r="J4" s="31">
        <v>65</v>
      </c>
      <c r="K4" s="30" t="s">
        <v>92</v>
      </c>
      <c r="L4" s="31">
        <v>60</v>
      </c>
      <c r="M4" s="31">
        <v>60</v>
      </c>
      <c r="N4" s="31">
        <v>61</v>
      </c>
      <c r="O4" s="31">
        <v>84</v>
      </c>
      <c r="P4" s="32">
        <v>84</v>
      </c>
      <c r="Q4" s="32">
        <f>SUM(Table1[[#This Row],[A5.1 International business management]:[ A6.7 Project Report based on Elective 
Group]])</f>
        <v>865</v>
      </c>
      <c r="R4" s="38">
        <f>Table1[[#This Row],[TOTAL MARKS OF TY]]/14</f>
        <v>61.785714285714285</v>
      </c>
      <c r="S4" s="32">
        <v>8.2100000000000009</v>
      </c>
      <c r="T4" s="32" t="s">
        <v>93</v>
      </c>
      <c r="U4" s="32">
        <v>3001</v>
      </c>
      <c r="V4" s="32" t="s">
        <v>32</v>
      </c>
      <c r="W4" s="34" t="s">
        <v>32</v>
      </c>
      <c r="X4" s="33">
        <f t="shared" si="0"/>
        <v>71.452380952380949</v>
      </c>
    </row>
    <row r="5" spans="1:24" x14ac:dyDescent="0.25">
      <c r="A5" s="30">
        <v>4</v>
      </c>
      <c r="B5" s="35" t="s">
        <v>94</v>
      </c>
      <c r="C5" s="31">
        <v>66</v>
      </c>
      <c r="D5" s="31">
        <v>59</v>
      </c>
      <c r="E5" s="31">
        <v>56</v>
      </c>
      <c r="F5" s="31">
        <v>58</v>
      </c>
      <c r="G5" s="31">
        <v>61</v>
      </c>
      <c r="H5" s="31">
        <v>86</v>
      </c>
      <c r="I5" s="31">
        <v>78</v>
      </c>
      <c r="J5" s="31">
        <v>77</v>
      </c>
      <c r="K5" s="31">
        <v>72</v>
      </c>
      <c r="L5" s="31">
        <v>71</v>
      </c>
      <c r="M5" s="31">
        <v>70</v>
      </c>
      <c r="N5" s="31">
        <v>59</v>
      </c>
      <c r="O5" s="31">
        <v>88</v>
      </c>
      <c r="P5" s="32">
        <v>89</v>
      </c>
      <c r="Q5" s="32">
        <f>SUM(Table1[[#This Row],[A5.1 International business management]:[ A6.7 Project Report based on Elective 
Group]])</f>
        <v>990</v>
      </c>
      <c r="R5" s="38">
        <f>Table1[[#This Row],[TOTAL MARKS OF TY]]/14</f>
        <v>70.714285714285708</v>
      </c>
      <c r="S5" s="32">
        <v>8.56</v>
      </c>
      <c r="T5" s="32" t="s">
        <v>95</v>
      </c>
      <c r="U5" s="32">
        <v>3130</v>
      </c>
      <c r="V5" s="39" t="s">
        <v>87</v>
      </c>
      <c r="W5" s="32" t="s">
        <v>88</v>
      </c>
      <c r="X5" s="33">
        <f t="shared" si="0"/>
        <v>74.523809523809518</v>
      </c>
    </row>
    <row r="6" spans="1:24" x14ac:dyDescent="0.25">
      <c r="A6" s="30">
        <v>5</v>
      </c>
      <c r="B6" s="35" t="s">
        <v>96</v>
      </c>
      <c r="C6" s="31">
        <v>57</v>
      </c>
      <c r="D6" s="31">
        <v>57</v>
      </c>
      <c r="E6" s="31">
        <v>61</v>
      </c>
      <c r="F6" s="31">
        <v>60</v>
      </c>
      <c r="G6" s="31">
        <v>58</v>
      </c>
      <c r="H6" s="31">
        <v>80</v>
      </c>
      <c r="I6" s="31">
        <v>81</v>
      </c>
      <c r="J6" s="31">
        <v>63</v>
      </c>
      <c r="K6" s="31">
        <v>60</v>
      </c>
      <c r="L6" s="31">
        <v>68</v>
      </c>
      <c r="M6" s="31">
        <v>68</v>
      </c>
      <c r="N6" s="31">
        <v>60</v>
      </c>
      <c r="O6" s="31">
        <v>85</v>
      </c>
      <c r="P6" s="32">
        <v>90</v>
      </c>
      <c r="Q6" s="32">
        <f>SUM(Table1[[#This Row],[A5.1 International business management]:[ A6.7 Project Report based on Elective 
Group]])</f>
        <v>948</v>
      </c>
      <c r="R6" s="38">
        <f>Table1[[#This Row],[TOTAL MARKS OF TY]]/14</f>
        <v>67.714285714285708</v>
      </c>
      <c r="S6" s="32">
        <v>8.31</v>
      </c>
      <c r="T6" s="32" t="s">
        <v>97</v>
      </c>
      <c r="U6" s="32">
        <v>3000</v>
      </c>
      <c r="V6" s="39" t="s">
        <v>87</v>
      </c>
      <c r="W6" s="32" t="s">
        <v>98</v>
      </c>
      <c r="X6" s="33">
        <f t="shared" si="0"/>
        <v>71.428571428571431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opLeftCell="B1" workbookViewId="0">
      <selection activeCell="S1" sqref="S1"/>
    </sheetView>
  </sheetViews>
  <sheetFormatPr defaultColWidth="14.42578125" defaultRowHeight="15" customHeight="1" x14ac:dyDescent="0.25"/>
  <cols>
    <col min="1" max="1" width="7.42578125" customWidth="1"/>
    <col min="2" max="2" width="15.5703125" customWidth="1"/>
    <col min="3" max="3" width="17.42578125" customWidth="1"/>
    <col min="4" max="4" width="19.7109375" customWidth="1"/>
    <col min="5" max="5" width="8.7109375" customWidth="1"/>
    <col min="6" max="8" width="9.140625" customWidth="1"/>
    <col min="9" max="9" width="8.7109375" customWidth="1"/>
    <col min="10" max="10" width="9" customWidth="1"/>
    <col min="11" max="26" width="8.7109375" customWidth="1"/>
  </cols>
  <sheetData>
    <row r="1" spans="1:23" ht="129" customHeight="1" x14ac:dyDescent="0.25">
      <c r="A1" s="19" t="s">
        <v>99</v>
      </c>
      <c r="B1" s="19" t="s">
        <v>1</v>
      </c>
      <c r="C1" s="19" t="s">
        <v>2</v>
      </c>
      <c r="D1" s="19" t="s">
        <v>3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113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114</v>
      </c>
    </row>
    <row r="2" spans="1:23" ht="21" x14ac:dyDescent="0.25">
      <c r="A2" s="8">
        <v>1</v>
      </c>
      <c r="B2" s="20">
        <v>362131</v>
      </c>
      <c r="C2" s="21" t="s">
        <v>115</v>
      </c>
      <c r="D2" s="8" t="s">
        <v>116</v>
      </c>
      <c r="E2" s="12">
        <v>52</v>
      </c>
      <c r="F2" s="12">
        <v>51</v>
      </c>
      <c r="G2" s="12">
        <v>51</v>
      </c>
      <c r="H2" s="12">
        <v>49</v>
      </c>
      <c r="I2" s="12">
        <v>79</v>
      </c>
      <c r="J2" s="12">
        <v>78</v>
      </c>
      <c r="K2" s="12">
        <v>80</v>
      </c>
      <c r="L2" s="12">
        <v>58</v>
      </c>
      <c r="M2" s="12">
        <v>57</v>
      </c>
      <c r="N2" s="12">
        <v>57</v>
      </c>
      <c r="O2" s="12">
        <v>59</v>
      </c>
      <c r="P2" s="12">
        <v>88</v>
      </c>
      <c r="Q2" s="12">
        <v>88</v>
      </c>
      <c r="R2" s="12">
        <v>86</v>
      </c>
      <c r="S2" s="12">
        <v>8.02</v>
      </c>
      <c r="T2" s="12" t="s">
        <v>117</v>
      </c>
      <c r="U2" s="12">
        <v>2814</v>
      </c>
      <c r="V2" s="12" t="s">
        <v>118</v>
      </c>
      <c r="W2" s="12" t="s">
        <v>119</v>
      </c>
    </row>
    <row r="3" spans="1:23" ht="21" x14ac:dyDescent="0.25">
      <c r="A3" s="8">
        <v>2</v>
      </c>
      <c r="B3" s="20">
        <v>362137</v>
      </c>
      <c r="C3" s="21" t="s">
        <v>120</v>
      </c>
      <c r="D3" s="8" t="s">
        <v>121</v>
      </c>
      <c r="E3" s="12">
        <v>71</v>
      </c>
      <c r="F3" s="12">
        <v>56</v>
      </c>
      <c r="G3" s="12">
        <v>57</v>
      </c>
      <c r="H3" s="12">
        <v>53</v>
      </c>
      <c r="I3" s="12">
        <v>87</v>
      </c>
      <c r="J3" s="12">
        <v>87</v>
      </c>
      <c r="K3" s="12">
        <v>88</v>
      </c>
      <c r="L3" s="12">
        <v>70</v>
      </c>
      <c r="M3" s="12">
        <v>65</v>
      </c>
      <c r="N3" s="12">
        <v>65</v>
      </c>
      <c r="O3" s="12">
        <v>87</v>
      </c>
      <c r="P3" s="12">
        <v>92</v>
      </c>
      <c r="Q3" s="12">
        <v>92</v>
      </c>
      <c r="R3" s="12">
        <v>90</v>
      </c>
      <c r="S3" s="12">
        <v>9.19</v>
      </c>
      <c r="T3" s="12" t="s">
        <v>122</v>
      </c>
      <c r="U3" s="12">
        <v>3331</v>
      </c>
      <c r="V3" s="12" t="s">
        <v>118</v>
      </c>
      <c r="W3" s="12" t="s">
        <v>123</v>
      </c>
    </row>
    <row r="4" spans="1:23" ht="21" x14ac:dyDescent="0.25">
      <c r="A4" s="8">
        <v>3</v>
      </c>
      <c r="B4" s="20">
        <v>362139</v>
      </c>
      <c r="C4" s="21" t="s">
        <v>124</v>
      </c>
      <c r="D4" s="8" t="s">
        <v>125</v>
      </c>
      <c r="E4" s="17" t="s">
        <v>48</v>
      </c>
      <c r="F4" s="12">
        <v>51</v>
      </c>
      <c r="G4" s="12">
        <v>48</v>
      </c>
      <c r="H4" s="12">
        <v>47</v>
      </c>
      <c r="I4" s="12">
        <v>77</v>
      </c>
      <c r="J4" s="12">
        <v>77</v>
      </c>
      <c r="K4" s="12">
        <v>74</v>
      </c>
      <c r="L4" s="12">
        <v>53</v>
      </c>
      <c r="M4" s="17" t="s">
        <v>30</v>
      </c>
      <c r="N4" s="17" t="s">
        <v>43</v>
      </c>
      <c r="O4" s="12">
        <v>56</v>
      </c>
      <c r="P4" s="12">
        <v>79</v>
      </c>
      <c r="Q4" s="12">
        <v>79</v>
      </c>
      <c r="R4" s="12">
        <v>78</v>
      </c>
      <c r="S4" s="12">
        <v>7.4</v>
      </c>
      <c r="T4" s="12" t="s">
        <v>126</v>
      </c>
      <c r="U4" s="12">
        <v>2766</v>
      </c>
      <c r="V4" s="12" t="s">
        <v>32</v>
      </c>
      <c r="W4" s="12"/>
    </row>
    <row r="5" spans="1:23" ht="21" x14ac:dyDescent="0.25">
      <c r="A5" s="8">
        <v>4</v>
      </c>
      <c r="B5" s="20">
        <v>362144</v>
      </c>
      <c r="C5" s="21" t="s">
        <v>127</v>
      </c>
      <c r="D5" s="8" t="s">
        <v>128</v>
      </c>
      <c r="E5" s="12">
        <v>81</v>
      </c>
      <c r="F5" s="12">
        <v>67</v>
      </c>
      <c r="G5" s="12">
        <v>64</v>
      </c>
      <c r="H5" s="12">
        <v>67</v>
      </c>
      <c r="I5" s="12">
        <v>86</v>
      </c>
      <c r="J5" s="12">
        <v>89</v>
      </c>
      <c r="K5" s="12">
        <v>88</v>
      </c>
      <c r="L5" s="12">
        <v>75</v>
      </c>
      <c r="M5" s="12">
        <v>83</v>
      </c>
      <c r="N5" s="12">
        <v>62</v>
      </c>
      <c r="O5" s="12">
        <v>74</v>
      </c>
      <c r="P5" s="12">
        <v>91</v>
      </c>
      <c r="Q5" s="12">
        <v>90</v>
      </c>
      <c r="R5" s="12">
        <v>92</v>
      </c>
      <c r="S5" s="12">
        <v>9.43</v>
      </c>
      <c r="T5" s="12" t="s">
        <v>129</v>
      </c>
      <c r="U5" s="12">
        <v>3412</v>
      </c>
      <c r="V5" s="12" t="s">
        <v>118</v>
      </c>
      <c r="W5" s="12" t="s">
        <v>123</v>
      </c>
    </row>
    <row r="6" spans="1:23" ht="21" x14ac:dyDescent="0.25">
      <c r="A6" s="8">
        <v>5</v>
      </c>
      <c r="B6" s="20">
        <v>362149</v>
      </c>
      <c r="C6" s="21" t="s">
        <v>130</v>
      </c>
      <c r="D6" s="8" t="s">
        <v>131</v>
      </c>
      <c r="E6" s="12">
        <v>62</v>
      </c>
      <c r="F6" s="12">
        <v>54</v>
      </c>
      <c r="G6" s="12">
        <v>68</v>
      </c>
      <c r="H6" s="12">
        <v>82</v>
      </c>
      <c r="I6" s="12">
        <v>89</v>
      </c>
      <c r="J6" s="12">
        <v>84</v>
      </c>
      <c r="K6" s="12">
        <v>82</v>
      </c>
      <c r="L6" s="12">
        <v>78</v>
      </c>
      <c r="M6" s="12">
        <v>72</v>
      </c>
      <c r="N6" s="12">
        <v>72</v>
      </c>
      <c r="O6" s="12">
        <v>84</v>
      </c>
      <c r="P6" s="12">
        <v>85</v>
      </c>
      <c r="Q6" s="12">
        <v>86</v>
      </c>
      <c r="R6" s="12">
        <v>83</v>
      </c>
      <c r="S6" s="12">
        <v>9.17</v>
      </c>
      <c r="T6" s="12" t="s">
        <v>132</v>
      </c>
      <c r="U6" s="12">
        <v>3213</v>
      </c>
      <c r="V6" s="12" t="s">
        <v>118</v>
      </c>
      <c r="W6" s="12" t="s">
        <v>123</v>
      </c>
    </row>
    <row r="7" spans="1:23" ht="21" x14ac:dyDescent="0.25">
      <c r="A7" s="8">
        <v>6</v>
      </c>
      <c r="B7" s="20">
        <v>362150</v>
      </c>
      <c r="C7" s="21" t="s">
        <v>133</v>
      </c>
      <c r="D7" s="8" t="s">
        <v>134</v>
      </c>
      <c r="E7" s="12">
        <v>69</v>
      </c>
      <c r="F7" s="12">
        <v>75</v>
      </c>
      <c r="G7" s="12">
        <v>68</v>
      </c>
      <c r="H7" s="22">
        <v>82</v>
      </c>
      <c r="I7" s="12">
        <v>92</v>
      </c>
      <c r="J7" s="12">
        <v>89</v>
      </c>
      <c r="K7" s="12">
        <v>88</v>
      </c>
      <c r="L7" s="12">
        <v>79</v>
      </c>
      <c r="M7" s="12">
        <v>83</v>
      </c>
      <c r="N7" s="12">
        <v>74</v>
      </c>
      <c r="O7" s="12">
        <v>87</v>
      </c>
      <c r="P7" s="12">
        <v>93</v>
      </c>
      <c r="Q7" s="12">
        <v>92</v>
      </c>
      <c r="R7" s="12">
        <v>91</v>
      </c>
      <c r="S7" s="12">
        <v>9.41</v>
      </c>
      <c r="T7" s="12" t="s">
        <v>67</v>
      </c>
      <c r="U7" s="12">
        <v>3352</v>
      </c>
      <c r="V7" s="12" t="s">
        <v>118</v>
      </c>
      <c r="W7" s="12" t="s">
        <v>123</v>
      </c>
    </row>
    <row r="8" spans="1:23" ht="21" x14ac:dyDescent="0.25">
      <c r="A8" s="8">
        <v>7</v>
      </c>
      <c r="B8" s="20">
        <v>362152</v>
      </c>
      <c r="C8" s="21" t="s">
        <v>135</v>
      </c>
      <c r="D8" s="8" t="s">
        <v>136</v>
      </c>
      <c r="E8" s="12">
        <v>55</v>
      </c>
      <c r="F8" s="12">
        <v>69</v>
      </c>
      <c r="G8" s="12">
        <v>46</v>
      </c>
      <c r="H8" s="12">
        <v>48</v>
      </c>
      <c r="I8" s="12">
        <v>80</v>
      </c>
      <c r="J8" s="12">
        <v>76</v>
      </c>
      <c r="K8" s="12">
        <v>76</v>
      </c>
      <c r="L8" s="12">
        <v>58</v>
      </c>
      <c r="M8" s="12">
        <v>64</v>
      </c>
      <c r="N8" s="17" t="s">
        <v>137</v>
      </c>
      <c r="O8" s="12">
        <v>59</v>
      </c>
      <c r="P8" s="12">
        <v>81</v>
      </c>
      <c r="Q8" s="12">
        <v>81</v>
      </c>
      <c r="R8" s="12">
        <v>81</v>
      </c>
      <c r="S8" s="12">
        <v>8.0500000000000007</v>
      </c>
      <c r="T8" s="12" t="s">
        <v>138</v>
      </c>
      <c r="U8" s="12">
        <v>2876</v>
      </c>
      <c r="V8" s="12" t="s">
        <v>32</v>
      </c>
      <c r="W8" s="12"/>
    </row>
    <row r="9" spans="1:23" ht="21" x14ac:dyDescent="0.25">
      <c r="A9" s="8">
        <v>8</v>
      </c>
      <c r="B9" s="20">
        <v>362173</v>
      </c>
      <c r="C9" s="21" t="s">
        <v>139</v>
      </c>
      <c r="D9" s="8" t="s">
        <v>140</v>
      </c>
      <c r="E9" s="12">
        <v>66</v>
      </c>
      <c r="F9" s="12">
        <v>71</v>
      </c>
      <c r="G9" s="12">
        <v>64</v>
      </c>
      <c r="H9" s="12">
        <v>73</v>
      </c>
      <c r="I9" s="12">
        <v>96</v>
      </c>
      <c r="J9" s="12">
        <v>96</v>
      </c>
      <c r="K9" s="12">
        <v>93</v>
      </c>
      <c r="L9" s="12">
        <v>75</v>
      </c>
      <c r="M9" s="12">
        <v>90</v>
      </c>
      <c r="N9" s="12">
        <v>75</v>
      </c>
      <c r="O9" s="12">
        <v>89</v>
      </c>
      <c r="P9" s="12">
        <v>95</v>
      </c>
      <c r="Q9" s="12">
        <v>95</v>
      </c>
      <c r="R9" s="12">
        <v>95</v>
      </c>
      <c r="S9" s="12">
        <v>9.33</v>
      </c>
      <c r="T9" s="12" t="s">
        <v>141</v>
      </c>
      <c r="U9" s="12">
        <v>3475</v>
      </c>
      <c r="V9" s="12" t="s">
        <v>118</v>
      </c>
      <c r="W9" s="12" t="s">
        <v>123</v>
      </c>
    </row>
    <row r="10" spans="1:23" ht="31.5" x14ac:dyDescent="0.25">
      <c r="A10" s="8">
        <v>9</v>
      </c>
      <c r="B10" s="20">
        <v>362184</v>
      </c>
      <c r="C10" s="21" t="s">
        <v>142</v>
      </c>
      <c r="D10" s="8" t="s">
        <v>143</v>
      </c>
      <c r="E10" s="12">
        <v>63</v>
      </c>
      <c r="F10" s="12">
        <v>57</v>
      </c>
      <c r="G10" s="12">
        <v>57</v>
      </c>
      <c r="H10" s="12">
        <v>64</v>
      </c>
      <c r="I10" s="12">
        <v>88</v>
      </c>
      <c r="J10" s="12">
        <v>82</v>
      </c>
      <c r="K10" s="12">
        <v>88</v>
      </c>
      <c r="L10" s="12">
        <v>64</v>
      </c>
      <c r="M10" s="12">
        <v>67</v>
      </c>
      <c r="N10" s="17" t="s">
        <v>49</v>
      </c>
      <c r="O10" s="17" t="s">
        <v>49</v>
      </c>
      <c r="P10" s="12">
        <v>91</v>
      </c>
      <c r="Q10" s="12">
        <v>92</v>
      </c>
      <c r="R10" s="12">
        <v>93</v>
      </c>
      <c r="S10" s="12">
        <v>8.5500000000000007</v>
      </c>
      <c r="T10" s="12" t="s">
        <v>144</v>
      </c>
      <c r="U10" s="12">
        <v>3123</v>
      </c>
      <c r="V10" s="12" t="s">
        <v>32</v>
      </c>
      <c r="W10" s="12"/>
    </row>
    <row r="11" spans="1:23" ht="31.5" x14ac:dyDescent="0.25">
      <c r="A11" s="8">
        <v>10</v>
      </c>
      <c r="B11" s="20">
        <v>362196</v>
      </c>
      <c r="C11" s="21" t="s">
        <v>145</v>
      </c>
      <c r="D11" s="8" t="s">
        <v>146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21" x14ac:dyDescent="0.25">
      <c r="A12" s="8">
        <v>11</v>
      </c>
      <c r="B12" s="20">
        <v>362207</v>
      </c>
      <c r="C12" s="21" t="s">
        <v>147</v>
      </c>
      <c r="D12" s="8" t="s">
        <v>148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21" x14ac:dyDescent="0.25">
      <c r="A13" s="8">
        <v>12</v>
      </c>
      <c r="B13" s="20">
        <v>362212</v>
      </c>
      <c r="C13" s="21" t="s">
        <v>149</v>
      </c>
      <c r="D13" s="8" t="s">
        <v>150</v>
      </c>
      <c r="E13" s="12">
        <v>79</v>
      </c>
      <c r="F13" s="12">
        <v>77</v>
      </c>
      <c r="G13" s="12">
        <v>73</v>
      </c>
      <c r="H13" s="12">
        <v>74</v>
      </c>
      <c r="I13" s="12">
        <v>97</v>
      </c>
      <c r="J13" s="12">
        <v>95</v>
      </c>
      <c r="K13" s="12">
        <v>95</v>
      </c>
      <c r="L13" s="12">
        <v>69</v>
      </c>
      <c r="M13" s="12">
        <v>89</v>
      </c>
      <c r="N13" s="12">
        <v>79</v>
      </c>
      <c r="O13" s="12">
        <v>72</v>
      </c>
      <c r="P13" s="12">
        <v>98</v>
      </c>
      <c r="Q13" s="12">
        <v>97</v>
      </c>
      <c r="R13" s="12">
        <v>98</v>
      </c>
      <c r="S13" s="12">
        <v>9.6199999999999992</v>
      </c>
      <c r="T13" s="12" t="s">
        <v>151</v>
      </c>
      <c r="U13" s="12">
        <v>3629</v>
      </c>
      <c r="V13" s="12" t="s">
        <v>118</v>
      </c>
      <c r="W13" s="12" t="s">
        <v>152</v>
      </c>
    </row>
    <row r="14" spans="1:23" ht="21" x14ac:dyDescent="0.25">
      <c r="A14" s="8">
        <v>13</v>
      </c>
      <c r="B14" s="20">
        <v>362228</v>
      </c>
      <c r="C14" s="21" t="s">
        <v>153</v>
      </c>
      <c r="D14" s="8" t="s">
        <v>154</v>
      </c>
      <c r="E14" s="12">
        <v>67</v>
      </c>
      <c r="F14" s="12">
        <v>63</v>
      </c>
      <c r="G14" s="12">
        <v>62</v>
      </c>
      <c r="H14" s="12">
        <v>69</v>
      </c>
      <c r="I14" s="12">
        <v>86</v>
      </c>
      <c r="J14" s="12">
        <v>94</v>
      </c>
      <c r="K14" s="12">
        <v>89</v>
      </c>
      <c r="L14" s="12">
        <v>71</v>
      </c>
      <c r="M14" s="12">
        <v>63</v>
      </c>
      <c r="N14" s="12">
        <v>73</v>
      </c>
      <c r="O14" s="12">
        <v>79</v>
      </c>
      <c r="P14" s="12">
        <v>93</v>
      </c>
      <c r="Q14" s="12">
        <v>92</v>
      </c>
      <c r="R14" s="12">
        <v>91</v>
      </c>
      <c r="S14" s="12">
        <v>9.33</v>
      </c>
      <c r="T14" s="12" t="s">
        <v>26</v>
      </c>
      <c r="U14" s="12">
        <v>3388</v>
      </c>
      <c r="V14" s="12" t="s">
        <v>118</v>
      </c>
      <c r="W14" s="12" t="s">
        <v>123</v>
      </c>
    </row>
    <row r="15" spans="1:23" ht="21" x14ac:dyDescent="0.25">
      <c r="A15" s="8">
        <v>14</v>
      </c>
      <c r="B15" s="20">
        <v>362229</v>
      </c>
      <c r="C15" s="21" t="s">
        <v>155</v>
      </c>
      <c r="D15" s="8" t="s">
        <v>156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21" x14ac:dyDescent="0.25">
      <c r="A16" s="8">
        <v>15</v>
      </c>
      <c r="B16" s="20">
        <v>362233</v>
      </c>
      <c r="C16" s="21" t="s">
        <v>157</v>
      </c>
      <c r="D16" s="8" t="s">
        <v>158</v>
      </c>
      <c r="E16" s="12">
        <v>83</v>
      </c>
      <c r="F16" s="12">
        <v>70</v>
      </c>
      <c r="G16" s="12">
        <v>67</v>
      </c>
      <c r="H16" s="12">
        <v>74</v>
      </c>
      <c r="I16" s="12">
        <v>97</v>
      </c>
      <c r="J16" s="12">
        <v>97</v>
      </c>
      <c r="K16" s="12">
        <v>95</v>
      </c>
      <c r="L16" s="12">
        <v>77</v>
      </c>
      <c r="M16" s="12">
        <v>79</v>
      </c>
      <c r="N16" s="12">
        <v>76</v>
      </c>
      <c r="O16" s="12">
        <v>75</v>
      </c>
      <c r="P16" s="12">
        <v>98</v>
      </c>
      <c r="Q16" s="12">
        <v>97</v>
      </c>
      <c r="R16" s="12">
        <v>97</v>
      </c>
      <c r="S16" s="12">
        <v>9.48</v>
      </c>
      <c r="T16" s="12" t="s">
        <v>151</v>
      </c>
      <c r="U16" s="12">
        <v>3559</v>
      </c>
      <c r="V16" s="12" t="s">
        <v>118</v>
      </c>
      <c r="W16" s="12" t="s">
        <v>123</v>
      </c>
    </row>
    <row r="17" spans="1:23" ht="21" x14ac:dyDescent="0.25">
      <c r="A17" s="8">
        <v>16</v>
      </c>
      <c r="B17" s="20">
        <v>362240</v>
      </c>
      <c r="C17" s="21" t="s">
        <v>159</v>
      </c>
      <c r="D17" s="8" t="s">
        <v>160</v>
      </c>
      <c r="E17" s="12">
        <v>68</v>
      </c>
      <c r="F17" s="12">
        <v>64</v>
      </c>
      <c r="G17" s="12">
        <v>59</v>
      </c>
      <c r="H17" s="12">
        <v>62</v>
      </c>
      <c r="I17" s="12">
        <v>87</v>
      </c>
      <c r="J17" s="12">
        <v>88</v>
      </c>
      <c r="K17" s="12">
        <v>91</v>
      </c>
      <c r="L17" s="12">
        <v>66</v>
      </c>
      <c r="M17" s="12">
        <v>76</v>
      </c>
      <c r="N17" s="12">
        <v>65</v>
      </c>
      <c r="O17" s="12">
        <v>64</v>
      </c>
      <c r="P17" s="12">
        <v>93</v>
      </c>
      <c r="Q17" s="12">
        <v>93</v>
      </c>
      <c r="R17" s="12">
        <v>93</v>
      </c>
      <c r="S17" s="12">
        <v>9.1199999999999992</v>
      </c>
      <c r="T17" s="12" t="s">
        <v>61</v>
      </c>
      <c r="U17" s="12">
        <v>3278</v>
      </c>
      <c r="V17" s="12" t="s">
        <v>118</v>
      </c>
      <c r="W17" s="12" t="s">
        <v>123</v>
      </c>
    </row>
    <row r="18" spans="1:23" ht="21" x14ac:dyDescent="0.25">
      <c r="A18" s="8">
        <v>17</v>
      </c>
      <c r="B18" s="20">
        <v>362246</v>
      </c>
      <c r="C18" s="21" t="s">
        <v>161</v>
      </c>
      <c r="D18" s="8" t="s">
        <v>162</v>
      </c>
      <c r="E18" s="12">
        <v>59</v>
      </c>
      <c r="F18" s="12">
        <v>54</v>
      </c>
      <c r="G18" s="12">
        <v>53</v>
      </c>
      <c r="H18" s="12">
        <v>59</v>
      </c>
      <c r="I18" s="12">
        <v>84</v>
      </c>
      <c r="J18" s="12">
        <v>80</v>
      </c>
      <c r="K18" s="12">
        <v>81</v>
      </c>
      <c r="L18" s="12">
        <v>65</v>
      </c>
      <c r="M18" s="12">
        <v>62</v>
      </c>
      <c r="N18" s="12">
        <v>59</v>
      </c>
      <c r="O18" s="12">
        <v>67</v>
      </c>
      <c r="P18" s="12">
        <v>90</v>
      </c>
      <c r="Q18" s="12">
        <v>87</v>
      </c>
      <c r="R18" s="12">
        <v>88</v>
      </c>
      <c r="S18" s="12">
        <v>8.7899999999999991</v>
      </c>
      <c r="T18" s="12" t="s">
        <v>163</v>
      </c>
      <c r="U18" s="12">
        <v>3127</v>
      </c>
      <c r="V18" s="12" t="s">
        <v>118</v>
      </c>
      <c r="W18" s="12" t="s">
        <v>123</v>
      </c>
    </row>
    <row r="19" spans="1:23" ht="21" x14ac:dyDescent="0.25">
      <c r="A19" s="8">
        <v>18</v>
      </c>
      <c r="B19" s="20">
        <v>362248</v>
      </c>
      <c r="C19" s="21" t="s">
        <v>164</v>
      </c>
      <c r="D19" s="8" t="s">
        <v>165</v>
      </c>
      <c r="E19" s="17" t="s">
        <v>92</v>
      </c>
      <c r="F19" s="12">
        <v>58</v>
      </c>
      <c r="G19" s="12">
        <v>54</v>
      </c>
      <c r="H19" s="12">
        <v>57</v>
      </c>
      <c r="I19" s="12">
        <v>79</v>
      </c>
      <c r="J19" s="12">
        <v>83</v>
      </c>
      <c r="K19" s="12">
        <v>83</v>
      </c>
      <c r="L19" s="12">
        <v>60</v>
      </c>
      <c r="M19" s="12">
        <v>61</v>
      </c>
      <c r="N19" s="12">
        <v>62</v>
      </c>
      <c r="O19" s="12">
        <v>63</v>
      </c>
      <c r="P19" s="12">
        <v>89</v>
      </c>
      <c r="Q19" s="12">
        <v>89</v>
      </c>
      <c r="R19" s="12">
        <v>88</v>
      </c>
      <c r="S19" s="12">
        <v>8.5500000000000007</v>
      </c>
      <c r="T19" s="12" t="s">
        <v>166</v>
      </c>
      <c r="U19" s="12">
        <v>3087</v>
      </c>
      <c r="V19" s="12" t="s">
        <v>32</v>
      </c>
      <c r="W19" s="12"/>
    </row>
    <row r="21" spans="1:23" ht="15.75" customHeight="1" x14ac:dyDescent="0.25"/>
    <row r="22" spans="1:23" ht="15.75" customHeight="1" x14ac:dyDescent="0.25"/>
    <row r="23" spans="1:23" ht="15.75" customHeight="1" x14ac:dyDescent="0.25"/>
    <row r="24" spans="1:23" ht="15.75" customHeight="1" x14ac:dyDescent="0.25"/>
    <row r="25" spans="1:23" ht="15.75" customHeight="1" x14ac:dyDescent="0.25"/>
    <row r="26" spans="1:23" ht="15.75" customHeight="1" x14ac:dyDescent="0.25"/>
    <row r="27" spans="1:23" ht="15.75" customHeight="1" x14ac:dyDescent="0.25"/>
    <row r="28" spans="1:23" ht="15.75" customHeight="1" x14ac:dyDescent="0.25"/>
    <row r="29" spans="1:23" ht="15.75" customHeight="1" x14ac:dyDescent="0.25"/>
    <row r="30" spans="1:23" ht="15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W19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MMS II</vt:lpstr>
      <vt:lpstr>BBA III</vt:lpstr>
      <vt:lpstr>BCA III</vt:lpstr>
      <vt:lpstr>sona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systel</dc:creator>
  <cp:lastModifiedBy>Admin</cp:lastModifiedBy>
  <dcterms:created xsi:type="dcterms:W3CDTF">2024-06-01T05:29:20Z</dcterms:created>
  <dcterms:modified xsi:type="dcterms:W3CDTF">2024-12-28T01:52:31Z</dcterms:modified>
</cp:coreProperties>
</file>