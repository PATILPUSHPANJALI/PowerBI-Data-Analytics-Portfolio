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MMS II" sheetId="1" r:id="rId1"/>
    <sheet name="BBA III" sheetId="2" r:id="rId2"/>
    <sheet name="BCA III" sheetId="3" r:id="rId3"/>
  </sheets>
  <definedNames>
    <definedName name="sona">'BCA III'!$B$1</definedName>
  </definedNames>
  <calcPr calcId="144525"/>
  <extLst>
    <ext uri="GoogleSheetsCustomDataVersion2">
      <go:sheetsCustomData xmlns:go="http://customooxmlschemas.google.com/" r:id="" roundtripDataChecksum="RXKvDTeqpqTEEzOpHipE+q5PvNK1jmk8cU0Mne89lbw="/>
    </ext>
  </extLst>
</workbook>
</file>

<file path=xl/calcChain.xml><?xml version="1.0" encoding="utf-8"?>
<calcChain xmlns="http://schemas.openxmlformats.org/spreadsheetml/2006/main">
  <c r="E16" i="1" l="1"/>
  <c r="E15" i="1"/>
  <c r="E14" i="1"/>
  <c r="F3" i="1"/>
  <c r="F4" i="1"/>
  <c r="F5" i="1"/>
  <c r="F6" i="1"/>
  <c r="F7" i="1"/>
  <c r="F8" i="1"/>
  <c r="F9" i="1"/>
  <c r="F10" i="1"/>
  <c r="F11" i="1"/>
  <c r="F2" i="1"/>
  <c r="E23" i="3"/>
  <c r="E22" i="3"/>
  <c r="E21" i="3"/>
  <c r="E24" i="3" s="1"/>
  <c r="G4" i="3"/>
  <c r="G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</calcChain>
</file>

<file path=xl/sharedStrings.xml><?xml version="1.0" encoding="utf-8"?>
<sst xmlns="http://schemas.openxmlformats.org/spreadsheetml/2006/main" count="105" uniqueCount="58">
  <si>
    <t>Name of Student</t>
  </si>
  <si>
    <t>CGPA</t>
  </si>
  <si>
    <t>TOTAL</t>
  </si>
  <si>
    <t>RESULT</t>
  </si>
  <si>
    <t>AHIRRAO NIKITA CHANDRAKANT</t>
  </si>
  <si>
    <t>PASS</t>
  </si>
  <si>
    <t>MAHAJAN PRIYANKA SAHEBRAO</t>
  </si>
  <si>
    <t>FAIL</t>
  </si>
  <si>
    <t>MISTRI KOMAL VINAYAK</t>
  </si>
  <si>
    <t>PATIL PRATIK DIPAK</t>
  </si>
  <si>
    <t>PATIL SHUBHANGI CHANDRAKANT</t>
  </si>
  <si>
    <t>RAJPUT NANDINEE KIRAN</t>
  </si>
  <si>
    <t>SONAWANE JAYSHRI SUNIL</t>
  </si>
  <si>
    <t>TATAR MAYURI RAJENDRA</t>
  </si>
  <si>
    <t>WAGH HANSRAJ POPAT</t>
  </si>
  <si>
    <t>WAGH PRITI PRAKASH</t>
  </si>
  <si>
    <t>Sr.No</t>
  </si>
  <si>
    <t>Student Name</t>
  </si>
  <si>
    <t>Grade</t>
  </si>
  <si>
    <t>DOSHI SAURAV VINAY</t>
  </si>
  <si>
    <t xml:space="preserve">pass </t>
  </si>
  <si>
    <t>A+</t>
  </si>
  <si>
    <t>JADHAV CHANDRAKANT SANJAY</t>
  </si>
  <si>
    <t>SHAIKH SAHIL SHAFI</t>
  </si>
  <si>
    <t>SHIRODE ADITYA NARENDRA</t>
  </si>
  <si>
    <t>YEOLEKAR AKSHAY SUNIL</t>
  </si>
  <si>
    <t>A</t>
  </si>
  <si>
    <t>Sr No</t>
  </si>
  <si>
    <t>GRADE</t>
  </si>
  <si>
    <t>BAVISKAR KUNAL BHALERAO</t>
  </si>
  <si>
    <t>Pass</t>
  </si>
  <si>
    <t>A Grade</t>
  </si>
  <si>
    <t>BHAMARE SUJATA SANJAY</t>
  </si>
  <si>
    <t>A+ Grade</t>
  </si>
  <si>
    <t>BORASE VIKAS SANJAY</t>
  </si>
  <si>
    <t>CHAUDHARI SWAPNIL ANIL</t>
  </si>
  <si>
    <t>DEORE AVINASH ARUN</t>
  </si>
  <si>
    <t>DEORE CHETAN SHIVAJI</t>
  </si>
  <si>
    <t>DESALE HARSHADA SHAHAJI</t>
  </si>
  <si>
    <t>KHARE PRASHANT MADHUKAR</t>
  </si>
  <si>
    <t>MOHAMMED JAWAAD SHAIKH FAZLURRAHMAN</t>
  </si>
  <si>
    <t>PATIL HARSHAWARDHAN ARUN</t>
  </si>
  <si>
    <t>PATIL SHUBHANGI ADHIKAR</t>
  </si>
  <si>
    <t>PATVE SHEKH SHAHID SHEKH AYUB</t>
  </si>
  <si>
    <t>O Grade</t>
  </si>
  <si>
    <t>SANER SANJANA SHARAD</t>
  </si>
  <si>
    <t>SHAIKH UZAIR NAZIMODDIN</t>
  </si>
  <si>
    <t>SONAR HIMANSHU ANIL</t>
  </si>
  <si>
    <t>SONAWANE LOKESH BHATU</t>
  </si>
  <si>
    <t>TAWADE GAURI SATISH</t>
  </si>
  <si>
    <t>UPASANI PRASAD SUNIL</t>
  </si>
  <si>
    <t>Total Percentage</t>
  </si>
  <si>
    <t>Fail</t>
  </si>
  <si>
    <t>Blanks</t>
  </si>
  <si>
    <t>Total</t>
  </si>
  <si>
    <t>Percentage</t>
  </si>
  <si>
    <t>esasr</t>
  </si>
  <si>
    <t>Ensure that MMS has 32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</si>
</sst>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1"/>
      <color theme="1"/>
      <name val="Calibri"/>
    </font>
    <font>
      <sz val="8"/>
      <color rgb="FF333333"/>
      <name val="Verdana"/>
    </font>
    <font>
      <sz val="8"/>
      <color rgb="FF000000"/>
      <name val="Verdana"/>
    </font>
    <font>
      <b/>
      <sz val="8"/>
      <color theme="1"/>
      <name val="Verdana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Verdana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Border="1" applyAlignment="1">
      <alignment wrapText="1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/>
    <xf numFmtId="0" fontId="0" fillId="0" borderId="0" xfId="0" applyBorder="1"/>
    <xf numFmtId="0" fontId="0" fillId="0" borderId="1" xfId="0" applyBorder="1"/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right" wrapText="1"/>
    </xf>
    <xf numFmtId="2" fontId="13" fillId="0" borderId="0" xfId="0" applyNumberFormat="1" applyFont="1" applyBorder="1" applyAlignment="1">
      <alignment horizontal="right"/>
    </xf>
    <xf numFmtId="2" fontId="13" fillId="0" borderId="0" xfId="1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1" xfId="0" applyFont="1" applyBorder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3" fillId="0" borderId="0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Border="1" applyAlignment="1">
      <alignment vertical="center" wrapText="1"/>
    </xf>
    <xf numFmtId="0" fontId="9" fillId="0" borderId="0" xfId="0" applyFont="1" applyFill="1" applyBorder="1" applyAlignment="1">
      <alignment wrapText="1"/>
    </xf>
    <xf numFmtId="0" fontId="4" fillId="0" borderId="0" xfId="0" applyFont="1" applyBorder="1"/>
    <xf numFmtId="0" fontId="15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Verdan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F11" totalsRowShown="0" headerRowDxfId="0" dataDxfId="1">
  <autoFilter ref="A1:F11"/>
  <tableColumns count="6">
    <tableColumn id="1" name="esasr" dataDxfId="6"/>
    <tableColumn id="2" name="Name of Student" dataDxfId="5"/>
    <tableColumn id="3" name="CGPA" dataDxfId="4"/>
    <tableColumn id="4" name="TOTAL" dataDxfId="3"/>
    <tableColumn id="5" name="RESULT" dataDxfId="2"/>
    <tableColumn id="6" name="Percentage">
      <calculatedColumnFormula>D2/32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6" totalsRowShown="0" headerRowDxfId="7" dataDxfId="8">
  <autoFilter ref="A1:F6"/>
  <tableColumns count="6">
    <tableColumn id="1" name="Sr.No" dataDxfId="14"/>
    <tableColumn id="2" name="Student Name" dataDxfId="13"/>
    <tableColumn id="3" name="CGPA" dataDxfId="12"/>
    <tableColumn id="5" name="TOTAL" dataDxfId="11"/>
    <tableColumn id="6" name="RESULT" dataDxfId="10"/>
    <tableColumn id="7" name="Grad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G19" totalsRowShown="0" headerRowDxfId="17" dataDxfId="18">
  <autoFilter ref="A1:G19"/>
  <sortState ref="A2:G19">
    <sortCondition ref="A1"/>
  </sortState>
  <tableColumns count="7">
    <tableColumn id="1" name="Sr No" dataDxfId="23"/>
    <tableColumn id="2" name="Name of Student" dataDxfId="22"/>
    <tableColumn id="3" name="CGPA" dataDxfId="21"/>
    <tableColumn id="4" name="TOTAL" dataDxfId="20"/>
    <tableColumn id="5" name="RESULT" dataDxfId="19"/>
    <tableColumn id="6" name="GRADE" dataDxfId="16"/>
    <tableColumn id="7" name="Total Percentage" dataDxfId="15">
      <calculatedColumnFormula>D2/42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activeCell="F16" sqref="F16"/>
    </sheetView>
  </sheetViews>
  <sheetFormatPr defaultColWidth="14.42578125" defaultRowHeight="15" customHeight="1" x14ac:dyDescent="0.25"/>
  <cols>
    <col min="1" max="1" width="8.7109375" customWidth="1"/>
    <col min="2" max="2" width="33" customWidth="1"/>
    <col min="3" max="4" width="8.7109375" customWidth="1"/>
    <col min="5" max="5" width="9.5703125" customWidth="1"/>
    <col min="6" max="6" width="13.140625" customWidth="1"/>
    <col min="7" max="7" width="8.7109375" customWidth="1"/>
  </cols>
  <sheetData>
    <row r="1" spans="1:10" x14ac:dyDescent="0.25">
      <c r="A1" s="25" t="s">
        <v>56</v>
      </c>
      <c r="B1" s="22" t="s">
        <v>0</v>
      </c>
      <c r="C1" s="1" t="s">
        <v>1</v>
      </c>
      <c r="D1" s="1" t="s">
        <v>2</v>
      </c>
      <c r="E1" s="1" t="s">
        <v>3</v>
      </c>
      <c r="F1" s="23" t="s">
        <v>55</v>
      </c>
    </row>
    <row r="2" spans="1:10" ht="21" x14ac:dyDescent="0.25">
      <c r="A2" s="2">
        <v>1</v>
      </c>
      <c r="B2" s="2" t="s">
        <v>4</v>
      </c>
      <c r="C2" s="24">
        <v>8.75</v>
      </c>
      <c r="D2" s="24">
        <v>2092</v>
      </c>
      <c r="E2" s="3" t="s">
        <v>5</v>
      </c>
      <c r="F2" s="4">
        <f>D2/32</f>
        <v>65.375</v>
      </c>
    </row>
    <row r="3" spans="1:10" ht="21" x14ac:dyDescent="0.25">
      <c r="A3" s="2">
        <v>2</v>
      </c>
      <c r="B3" s="2" t="s">
        <v>6</v>
      </c>
      <c r="C3" s="2">
        <v>8.2899999999999991</v>
      </c>
      <c r="D3" s="2">
        <v>2009</v>
      </c>
      <c r="E3" s="3" t="s">
        <v>7</v>
      </c>
      <c r="F3" s="4">
        <f t="shared" ref="F3:F11" si="0">D3/32</f>
        <v>62.78125</v>
      </c>
    </row>
    <row r="4" spans="1:10" x14ac:dyDescent="0.25">
      <c r="A4" s="2">
        <v>3</v>
      </c>
      <c r="B4" s="2" t="s">
        <v>8</v>
      </c>
      <c r="C4" s="3">
        <v>8.7100000000000009</v>
      </c>
      <c r="D4" s="3">
        <v>2038</v>
      </c>
      <c r="E4" s="3" t="s">
        <v>5</v>
      </c>
      <c r="F4" s="4">
        <f t="shared" si="0"/>
        <v>63.6875</v>
      </c>
    </row>
    <row r="5" spans="1:10" x14ac:dyDescent="0.25">
      <c r="A5" s="2">
        <v>4</v>
      </c>
      <c r="B5" s="2" t="s">
        <v>9</v>
      </c>
      <c r="C5" s="3">
        <v>9.2899999999999991</v>
      </c>
      <c r="D5" s="3">
        <v>2263</v>
      </c>
      <c r="E5" s="3" t="s">
        <v>5</v>
      </c>
      <c r="F5" s="4">
        <f t="shared" si="0"/>
        <v>70.71875</v>
      </c>
    </row>
    <row r="6" spans="1:10" ht="21" x14ac:dyDescent="0.25">
      <c r="A6" s="2">
        <v>5</v>
      </c>
      <c r="B6" s="2" t="s">
        <v>10</v>
      </c>
      <c r="C6" s="2">
        <v>6.96</v>
      </c>
      <c r="D6" s="2">
        <v>1762</v>
      </c>
      <c r="E6" s="3" t="s">
        <v>7</v>
      </c>
      <c r="F6" s="4">
        <f t="shared" si="0"/>
        <v>55.0625</v>
      </c>
    </row>
    <row r="7" spans="1:10" x14ac:dyDescent="0.25">
      <c r="A7" s="2">
        <v>6</v>
      </c>
      <c r="B7" s="2" t="s">
        <v>11</v>
      </c>
      <c r="C7" s="2">
        <v>4.68</v>
      </c>
      <c r="D7" s="2">
        <v>1513</v>
      </c>
      <c r="E7" s="3" t="s">
        <v>7</v>
      </c>
      <c r="F7" s="4">
        <f t="shared" si="0"/>
        <v>47.28125</v>
      </c>
      <c r="H7" s="26" t="s">
        <v>57</v>
      </c>
      <c r="I7" s="26"/>
      <c r="J7" s="26"/>
    </row>
    <row r="8" spans="1:10" x14ac:dyDescent="0.25">
      <c r="A8" s="2">
        <v>7</v>
      </c>
      <c r="B8" s="2" t="s">
        <v>12</v>
      </c>
      <c r="C8" s="2">
        <v>7.68</v>
      </c>
      <c r="D8" s="2">
        <v>1864</v>
      </c>
      <c r="E8" s="3" t="s">
        <v>7</v>
      </c>
      <c r="F8" s="4">
        <f t="shared" si="0"/>
        <v>58.25</v>
      </c>
    </row>
    <row r="9" spans="1:10" ht="21" x14ac:dyDescent="0.25">
      <c r="A9" s="2">
        <v>8</v>
      </c>
      <c r="B9" s="2" t="s">
        <v>13</v>
      </c>
      <c r="C9" s="2">
        <v>8.61</v>
      </c>
      <c r="D9" s="2">
        <v>1990</v>
      </c>
      <c r="E9" s="3" t="s">
        <v>5</v>
      </c>
      <c r="F9" s="4">
        <f t="shared" si="0"/>
        <v>62.1875</v>
      </c>
    </row>
    <row r="10" spans="1:10" x14ac:dyDescent="0.25">
      <c r="A10" s="2">
        <v>9</v>
      </c>
      <c r="B10" s="2" t="s">
        <v>14</v>
      </c>
      <c r="C10" s="2">
        <v>6.64</v>
      </c>
      <c r="D10" s="2">
        <v>1759</v>
      </c>
      <c r="E10" s="3" t="s">
        <v>7</v>
      </c>
      <c r="F10" s="4">
        <f t="shared" si="0"/>
        <v>54.96875</v>
      </c>
    </row>
    <row r="11" spans="1:10" x14ac:dyDescent="0.25">
      <c r="A11" s="2">
        <v>10</v>
      </c>
      <c r="B11" s="2" t="s">
        <v>15</v>
      </c>
      <c r="C11" s="2">
        <v>9.43</v>
      </c>
      <c r="D11" s="2">
        <v>2288</v>
      </c>
      <c r="E11" s="3" t="s">
        <v>5</v>
      </c>
      <c r="F11" s="4">
        <f t="shared" si="0"/>
        <v>71.5</v>
      </c>
    </row>
    <row r="14" spans="1:10" ht="15" customHeight="1" x14ac:dyDescent="0.25">
      <c r="D14" s="15" t="s">
        <v>30</v>
      </c>
      <c r="E14" s="5">
        <f>COUNTIF(Table3[RESULT],"PASS")</f>
        <v>5</v>
      </c>
    </row>
    <row r="15" spans="1:10" ht="15" customHeight="1" x14ac:dyDescent="0.25">
      <c r="D15" s="15" t="s">
        <v>52</v>
      </c>
      <c r="E15" s="5">
        <f>COUNTIF(Table3[RESULT],"FAIL")</f>
        <v>5</v>
      </c>
    </row>
    <row r="16" spans="1:10" ht="15" customHeight="1" x14ac:dyDescent="0.25">
      <c r="D16" s="15" t="s">
        <v>54</v>
      </c>
      <c r="E16" s="5">
        <f>SUM(E14:E15)</f>
        <v>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H7:J7"/>
  </mergeCell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G7" sqref="G7"/>
    </sheetView>
  </sheetViews>
  <sheetFormatPr defaultColWidth="14.42578125" defaultRowHeight="15" customHeight="1" x14ac:dyDescent="0.25"/>
  <cols>
    <col min="1" max="1" width="9.42578125" customWidth="1"/>
    <col min="2" max="2" width="29.140625" customWidth="1"/>
    <col min="3" max="3" width="9.42578125" customWidth="1"/>
    <col min="4" max="4" width="10" customWidth="1"/>
    <col min="5" max="5" width="10.85546875" customWidth="1"/>
    <col min="6" max="6" width="9.85546875" customWidth="1"/>
    <col min="7" max="10" width="8.7109375" customWidth="1"/>
  </cols>
  <sheetData>
    <row r="1" spans="1:6" ht="45" customHeight="1" x14ac:dyDescent="0.25">
      <c r="A1" s="16" t="s">
        <v>16</v>
      </c>
      <c r="B1" s="17" t="s">
        <v>17</v>
      </c>
      <c r="C1" s="18" t="s">
        <v>1</v>
      </c>
      <c r="D1" s="18" t="s">
        <v>2</v>
      </c>
      <c r="E1" s="18" t="s">
        <v>3</v>
      </c>
      <c r="F1" s="18" t="s">
        <v>18</v>
      </c>
    </row>
    <row r="2" spans="1:6" x14ac:dyDescent="0.25">
      <c r="A2" s="19">
        <v>1</v>
      </c>
      <c r="B2" s="19" t="s">
        <v>19</v>
      </c>
      <c r="C2" s="20">
        <v>8.75</v>
      </c>
      <c r="D2" s="20">
        <v>3177</v>
      </c>
      <c r="E2" s="20" t="s">
        <v>20</v>
      </c>
      <c r="F2" s="20" t="s">
        <v>21</v>
      </c>
    </row>
    <row r="3" spans="1:6" x14ac:dyDescent="0.25">
      <c r="A3" s="19">
        <v>2</v>
      </c>
      <c r="B3" s="19" t="s">
        <v>22</v>
      </c>
      <c r="C3" s="20">
        <v>8.85</v>
      </c>
      <c r="D3" s="20">
        <v>3232</v>
      </c>
      <c r="E3" s="20" t="s">
        <v>20</v>
      </c>
      <c r="F3" s="20" t="s">
        <v>21</v>
      </c>
    </row>
    <row r="4" spans="1:6" x14ac:dyDescent="0.25">
      <c r="A4" s="19">
        <v>3</v>
      </c>
      <c r="B4" s="19" t="s">
        <v>23</v>
      </c>
      <c r="C4" s="20">
        <v>8.2100000000000009</v>
      </c>
      <c r="D4" s="20">
        <v>3001</v>
      </c>
      <c r="E4" s="20" t="s">
        <v>7</v>
      </c>
      <c r="F4" s="21"/>
    </row>
    <row r="5" spans="1:6" x14ac:dyDescent="0.25">
      <c r="A5" s="19">
        <v>4</v>
      </c>
      <c r="B5" s="19" t="s">
        <v>24</v>
      </c>
      <c r="C5" s="20">
        <v>8.56</v>
      </c>
      <c r="D5" s="20">
        <v>3130</v>
      </c>
      <c r="E5" s="20" t="s">
        <v>20</v>
      </c>
      <c r="F5" s="20" t="s">
        <v>21</v>
      </c>
    </row>
    <row r="6" spans="1:6" x14ac:dyDescent="0.25">
      <c r="A6" s="19">
        <v>5</v>
      </c>
      <c r="B6" s="19" t="s">
        <v>25</v>
      </c>
      <c r="C6" s="20">
        <v>8.31</v>
      </c>
      <c r="D6" s="20">
        <v>3000</v>
      </c>
      <c r="E6" s="20" t="s">
        <v>20</v>
      </c>
      <c r="F6" s="20" t="s">
        <v>26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G7" sqref="G7"/>
    </sheetView>
  </sheetViews>
  <sheetFormatPr defaultColWidth="14.42578125" defaultRowHeight="15" customHeight="1" x14ac:dyDescent="0.25"/>
  <cols>
    <col min="1" max="1" width="11" bestFit="1" customWidth="1"/>
    <col min="2" max="2" width="31.28515625" bestFit="1" customWidth="1"/>
    <col min="3" max="3" width="10.85546875" bestFit="1" customWidth="1"/>
    <col min="4" max="4" width="11.85546875" bestFit="1" customWidth="1"/>
    <col min="5" max="5" width="12.7109375" bestFit="1" customWidth="1"/>
    <col min="6" max="6" width="12.28515625" bestFit="1" customWidth="1"/>
    <col min="7" max="7" width="22.42578125" style="14" bestFit="1" customWidth="1"/>
    <col min="8" max="9" width="8.7109375" customWidth="1"/>
  </cols>
  <sheetData>
    <row r="1" spans="1:7" ht="30.75" customHeight="1" x14ac:dyDescent="0.25">
      <c r="A1" s="6" t="s">
        <v>27</v>
      </c>
      <c r="B1" s="6" t="s">
        <v>0</v>
      </c>
      <c r="C1" s="7" t="s">
        <v>1</v>
      </c>
      <c r="D1" s="7" t="s">
        <v>2</v>
      </c>
      <c r="E1" s="7" t="s">
        <v>3</v>
      </c>
      <c r="F1" s="7" t="s">
        <v>28</v>
      </c>
      <c r="G1" s="11" t="s">
        <v>51</v>
      </c>
    </row>
    <row r="2" spans="1:7" ht="15.75" x14ac:dyDescent="0.25">
      <c r="A2" s="8">
        <v>1</v>
      </c>
      <c r="B2" s="9" t="s">
        <v>29</v>
      </c>
      <c r="C2" s="10">
        <v>8.02</v>
      </c>
      <c r="D2" s="10">
        <v>2814</v>
      </c>
      <c r="E2" s="10" t="s">
        <v>30</v>
      </c>
      <c r="F2" s="10" t="s">
        <v>31</v>
      </c>
      <c r="G2" s="12">
        <f>D2/42</f>
        <v>67</v>
      </c>
    </row>
    <row r="3" spans="1:7" ht="15.75" x14ac:dyDescent="0.25">
      <c r="A3" s="8">
        <v>2</v>
      </c>
      <c r="B3" s="9" t="s">
        <v>32</v>
      </c>
      <c r="C3" s="10">
        <v>9.19</v>
      </c>
      <c r="D3" s="10">
        <v>3331</v>
      </c>
      <c r="E3" s="10" t="s">
        <v>30</v>
      </c>
      <c r="F3" s="10" t="s">
        <v>33</v>
      </c>
      <c r="G3" s="13">
        <f>D3/42</f>
        <v>79.30952380952381</v>
      </c>
    </row>
    <row r="4" spans="1:7" ht="15.75" x14ac:dyDescent="0.25">
      <c r="A4" s="8">
        <v>3</v>
      </c>
      <c r="B4" s="9" t="s">
        <v>34</v>
      </c>
      <c r="C4" s="10">
        <v>7.4</v>
      </c>
      <c r="D4" s="10">
        <v>2766</v>
      </c>
      <c r="E4" s="10" t="s">
        <v>7</v>
      </c>
      <c r="F4" s="10"/>
      <c r="G4" s="12">
        <f>D4/42</f>
        <v>65.857142857142861</v>
      </c>
    </row>
    <row r="5" spans="1:7" ht="15.75" x14ac:dyDescent="0.25">
      <c r="A5" s="8">
        <v>4</v>
      </c>
      <c r="B5" s="9" t="s">
        <v>35</v>
      </c>
      <c r="C5" s="10">
        <v>9.43</v>
      </c>
      <c r="D5" s="10">
        <v>3412</v>
      </c>
      <c r="E5" s="10" t="s">
        <v>30</v>
      </c>
      <c r="F5" s="10" t="s">
        <v>33</v>
      </c>
      <c r="G5" s="12">
        <f>D5/42</f>
        <v>81.238095238095241</v>
      </c>
    </row>
    <row r="6" spans="1:7" ht="15.75" x14ac:dyDescent="0.25">
      <c r="A6" s="8">
        <v>5</v>
      </c>
      <c r="B6" s="9" t="s">
        <v>36</v>
      </c>
      <c r="C6" s="10">
        <v>9.17</v>
      </c>
      <c r="D6" s="10">
        <v>3213</v>
      </c>
      <c r="E6" s="10" t="s">
        <v>30</v>
      </c>
      <c r="F6" s="10" t="s">
        <v>33</v>
      </c>
      <c r="G6" s="12">
        <f>D6/42</f>
        <v>76.5</v>
      </c>
    </row>
    <row r="7" spans="1:7" ht="15.75" x14ac:dyDescent="0.25">
      <c r="A7" s="8">
        <v>6</v>
      </c>
      <c r="B7" s="9" t="s">
        <v>37</v>
      </c>
      <c r="C7" s="10">
        <v>9.41</v>
      </c>
      <c r="D7" s="10">
        <v>3352</v>
      </c>
      <c r="E7" s="10" t="s">
        <v>30</v>
      </c>
      <c r="F7" s="10" t="s">
        <v>33</v>
      </c>
      <c r="G7" s="12">
        <f>D7/42</f>
        <v>79.80952380952381</v>
      </c>
    </row>
    <row r="8" spans="1:7" ht="15.75" x14ac:dyDescent="0.25">
      <c r="A8" s="8">
        <v>7</v>
      </c>
      <c r="B8" s="9" t="s">
        <v>38</v>
      </c>
      <c r="C8" s="10">
        <v>8.0500000000000007</v>
      </c>
      <c r="D8" s="10">
        <v>2876</v>
      </c>
      <c r="E8" s="10" t="s">
        <v>7</v>
      </c>
      <c r="F8" s="10"/>
      <c r="G8" s="12">
        <f>D8/42</f>
        <v>68.476190476190482</v>
      </c>
    </row>
    <row r="9" spans="1:7" ht="15.75" x14ac:dyDescent="0.25">
      <c r="A9" s="8">
        <v>8</v>
      </c>
      <c r="B9" s="9" t="s">
        <v>39</v>
      </c>
      <c r="C9" s="10">
        <v>9.33</v>
      </c>
      <c r="D9" s="10">
        <v>3475</v>
      </c>
      <c r="E9" s="10" t="s">
        <v>30</v>
      </c>
      <c r="F9" s="10" t="s">
        <v>33</v>
      </c>
      <c r="G9" s="12">
        <f>D9/42</f>
        <v>82.738095238095241</v>
      </c>
    </row>
    <row r="10" spans="1:7" ht="31.5" x14ac:dyDescent="0.25">
      <c r="A10" s="8">
        <v>9</v>
      </c>
      <c r="B10" s="9" t="s">
        <v>40</v>
      </c>
      <c r="C10" s="10">
        <v>8.5500000000000007</v>
      </c>
      <c r="D10" s="10">
        <v>3123</v>
      </c>
      <c r="E10" s="10" t="s">
        <v>7</v>
      </c>
      <c r="F10" s="10"/>
      <c r="G10" s="12">
        <f>D10/42</f>
        <v>74.357142857142861</v>
      </c>
    </row>
    <row r="11" spans="1:7" ht="15.75" x14ac:dyDescent="0.25">
      <c r="A11" s="8">
        <v>10</v>
      </c>
      <c r="B11" s="9" t="s">
        <v>41</v>
      </c>
      <c r="C11" s="10"/>
      <c r="D11" s="10"/>
      <c r="E11" s="10"/>
      <c r="F11" s="10"/>
      <c r="G11" s="12">
        <f>D11/42</f>
        <v>0</v>
      </c>
    </row>
    <row r="12" spans="1:7" ht="15.75" x14ac:dyDescent="0.25">
      <c r="A12" s="8">
        <v>11</v>
      </c>
      <c r="B12" s="9" t="s">
        <v>42</v>
      </c>
      <c r="C12" s="10"/>
      <c r="D12" s="10"/>
      <c r="E12" s="10"/>
      <c r="F12" s="10"/>
      <c r="G12" s="12">
        <f>D12/42</f>
        <v>0</v>
      </c>
    </row>
    <row r="13" spans="1:7" ht="31.5" x14ac:dyDescent="0.25">
      <c r="A13" s="8">
        <v>12</v>
      </c>
      <c r="B13" s="9" t="s">
        <v>43</v>
      </c>
      <c r="C13" s="10">
        <v>9.6199999999999992</v>
      </c>
      <c r="D13" s="10">
        <v>3629</v>
      </c>
      <c r="E13" s="10" t="s">
        <v>30</v>
      </c>
      <c r="F13" s="10" t="s">
        <v>44</v>
      </c>
      <c r="G13" s="12">
        <f>D13/42</f>
        <v>86.404761904761898</v>
      </c>
    </row>
    <row r="14" spans="1:7" ht="15.75" x14ac:dyDescent="0.25">
      <c r="A14" s="8">
        <v>13</v>
      </c>
      <c r="B14" s="9" t="s">
        <v>45</v>
      </c>
      <c r="C14" s="10">
        <v>9.33</v>
      </c>
      <c r="D14" s="10">
        <v>3388</v>
      </c>
      <c r="E14" s="10" t="s">
        <v>30</v>
      </c>
      <c r="F14" s="10" t="s">
        <v>33</v>
      </c>
      <c r="G14" s="12">
        <f>D14/42</f>
        <v>80.666666666666671</v>
      </c>
    </row>
    <row r="15" spans="1:7" ht="15.75" x14ac:dyDescent="0.25">
      <c r="A15" s="8">
        <v>14</v>
      </c>
      <c r="B15" s="9" t="s">
        <v>46</v>
      </c>
      <c r="C15" s="10"/>
      <c r="D15" s="10"/>
      <c r="E15" s="10"/>
      <c r="F15" s="10"/>
      <c r="G15" s="12">
        <f>D15/42</f>
        <v>0</v>
      </c>
    </row>
    <row r="16" spans="1:7" ht="15.75" x14ac:dyDescent="0.25">
      <c r="A16" s="8">
        <v>15</v>
      </c>
      <c r="B16" s="9" t="s">
        <v>47</v>
      </c>
      <c r="C16" s="10">
        <v>9.48</v>
      </c>
      <c r="D16" s="10">
        <v>3559</v>
      </c>
      <c r="E16" s="10" t="s">
        <v>30</v>
      </c>
      <c r="F16" s="10" t="s">
        <v>33</v>
      </c>
      <c r="G16" s="12">
        <f>D16/42</f>
        <v>84.738095238095241</v>
      </c>
    </row>
    <row r="17" spans="1:7" ht="15.75" x14ac:dyDescent="0.25">
      <c r="A17" s="8">
        <v>16</v>
      </c>
      <c r="B17" s="9" t="s">
        <v>48</v>
      </c>
      <c r="C17" s="10">
        <v>9.1199999999999992</v>
      </c>
      <c r="D17" s="10">
        <v>3278</v>
      </c>
      <c r="E17" s="10" t="s">
        <v>30</v>
      </c>
      <c r="F17" s="10" t="s">
        <v>33</v>
      </c>
      <c r="G17" s="12">
        <f>D17/42</f>
        <v>78.047619047619051</v>
      </c>
    </row>
    <row r="18" spans="1:7" ht="15.75" x14ac:dyDescent="0.25">
      <c r="A18" s="8">
        <v>17</v>
      </c>
      <c r="B18" s="9" t="s">
        <v>49</v>
      </c>
      <c r="C18" s="10">
        <v>8.7899999999999991</v>
      </c>
      <c r="D18" s="10">
        <v>3127</v>
      </c>
      <c r="E18" s="10" t="s">
        <v>30</v>
      </c>
      <c r="F18" s="10" t="s">
        <v>33</v>
      </c>
      <c r="G18" s="12">
        <f>D18/42</f>
        <v>74.452380952380949</v>
      </c>
    </row>
    <row r="19" spans="1:7" ht="15.75" x14ac:dyDescent="0.25">
      <c r="A19" s="8">
        <v>18</v>
      </c>
      <c r="B19" s="9" t="s">
        <v>50</v>
      </c>
      <c r="C19" s="10">
        <v>8.5500000000000007</v>
      </c>
      <c r="D19" s="10">
        <v>3087</v>
      </c>
      <c r="E19" s="10" t="s">
        <v>7</v>
      </c>
      <c r="F19" s="10"/>
      <c r="G19" s="12">
        <f>D19/42</f>
        <v>73.5</v>
      </c>
    </row>
    <row r="21" spans="1:7" ht="15.75" customHeight="1" x14ac:dyDescent="0.25">
      <c r="D21" s="15" t="s">
        <v>30</v>
      </c>
      <c r="E21" s="5">
        <f>COUNTIF(Table1[RESULT],"Pass")</f>
        <v>11</v>
      </c>
    </row>
    <row r="22" spans="1:7" ht="15.75" customHeight="1" x14ac:dyDescent="0.25">
      <c r="D22" s="15" t="s">
        <v>52</v>
      </c>
      <c r="E22" s="5">
        <f>COUNTIF(Table1[RESULT],"Fail")</f>
        <v>4</v>
      </c>
    </row>
    <row r="23" spans="1:7" ht="15.75" customHeight="1" x14ac:dyDescent="0.25">
      <c r="D23" s="15" t="s">
        <v>53</v>
      </c>
      <c r="E23" s="5">
        <f>COUNTBLANK(Table1[RESULT])</f>
        <v>3</v>
      </c>
    </row>
    <row r="24" spans="1:7" ht="15.75" customHeight="1" x14ac:dyDescent="0.25">
      <c r="D24" s="15" t="s">
        <v>54</v>
      </c>
      <c r="E24" s="5">
        <f>SUM(E21:E23)</f>
        <v>18</v>
      </c>
    </row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MMS II</vt:lpstr>
      <vt:lpstr>BBA III</vt:lpstr>
      <vt:lpstr>BCA III</vt:lpstr>
      <vt:lpstr>sona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systel</dc:creator>
  <cp:lastModifiedBy>Admin</cp:lastModifiedBy>
  <dcterms:created xsi:type="dcterms:W3CDTF">2024-06-01T05:29:20Z</dcterms:created>
  <dcterms:modified xsi:type="dcterms:W3CDTF">2024-12-22T08:34:47Z</dcterms:modified>
</cp:coreProperties>
</file>