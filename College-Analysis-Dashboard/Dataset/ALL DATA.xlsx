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 tabRatio="56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98" i="1" l="1"/>
  <c r="F199" i="1"/>
  <c r="F200" i="1"/>
  <c r="F201" i="1"/>
  <c r="F202" i="1"/>
  <c r="F203" i="1"/>
  <c r="F204" i="1"/>
  <c r="F205" i="1"/>
  <c r="F206" i="1"/>
  <c r="F197" i="1"/>
  <c r="F196" i="1"/>
  <c r="F193" i="1" l="1"/>
  <c r="F194" i="1"/>
  <c r="F195" i="1"/>
  <c r="F192" i="1"/>
  <c r="F175" i="1" l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74" i="1"/>
  <c r="F173" i="1" l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</calcChain>
</file>

<file path=xl/sharedStrings.xml><?xml version="1.0" encoding="utf-8"?>
<sst xmlns="http://schemas.openxmlformats.org/spreadsheetml/2006/main" count="625" uniqueCount="225">
  <si>
    <t>COURSE</t>
  </si>
  <si>
    <t>BBA</t>
  </si>
  <si>
    <t>MMS</t>
  </si>
  <si>
    <t>NAME</t>
  </si>
  <si>
    <t>RESULT</t>
  </si>
  <si>
    <t>PERCENTAGE</t>
  </si>
  <si>
    <t>CGPA</t>
  </si>
  <si>
    <t>TOTAL MARKS</t>
  </si>
  <si>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</si>
  <si>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</si>
  <si>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</si>
  <si>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</si>
  <si>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</si>
  <si>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</si>
  <si>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</si>
  <si>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</si>
  <si>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</si>
  <si>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</si>
  <si>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</si>
  <si>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</si>
  <si>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</si>
  <si>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</si>
  <si>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</si>
  <si>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</si>
  <si>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</si>
  <si>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</si>
  <si>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</si>
  <si>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</si>
  <si>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</si>
  <si>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</si>
  <si>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</si>
  <si>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</si>
  <si>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</si>
  <si>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</si>
  <si>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</si>
  <si>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</si>
  <si>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</si>
  <si>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</si>
  <si>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</si>
  <si>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</si>
  <si>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</si>
  <si>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</si>
  <si>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</si>
  <si>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</si>
  <si>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</si>
  <si>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</si>
  <si>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</si>
  <si>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</si>
  <si>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</si>
  <si>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</si>
  <si>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</si>
  <si>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</si>
  <si>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</si>
  <si>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</si>
  <si>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</si>
  <si>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</si>
  <si>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</si>
  <si>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</si>
  <si>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</si>
  <si>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</si>
  <si>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</si>
  <si>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</si>
  <si>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</si>
  <si>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</si>
  <si>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</si>
  <si>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</si>
  <si>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</si>
  <si>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</si>
  <si>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</si>
  <si>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</si>
  <si>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</si>
  <si>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</si>
  <si>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</si>
  <si>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</si>
  <si>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</si>
  <si>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</si>
  <si>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</si>
  <si>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</si>
  <si>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</si>
  <si>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</si>
  <si>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</si>
  <si>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</si>
  <si>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</si>
  <si>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</si>
  <si>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</si>
  <si>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</si>
  <si>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</si>
  <si>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</si>
  <si>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</si>
  <si>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</si>
  <si>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</si>
  <si>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</si>
  <si>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</si>
  <si>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</si>
  <si>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</si>
  <si>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</si>
  <si>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</si>
  <si>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</si>
  <si>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</si>
  <si>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</si>
  <si>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</si>
  <si>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MALI SANDIP MOHAN</t>
  </si>
  <si>
    <t>WAGH MADHURI SANJAY</t>
  </si>
  <si>
    <t>WAGH SANDESH PRAMOD</t>
  </si>
  <si>
    <t>WANI BHUSHAN SHANTARAM</t>
  </si>
  <si>
    <t>FYBCA</t>
  </si>
  <si>
    <t>ATKT</t>
  </si>
  <si>
    <t>PASS</t>
  </si>
  <si>
    <t>FAIL</t>
  </si>
  <si>
    <t>AHIRE BHUPENDRA GHANSHYAM</t>
  </si>
  <si>
    <t>AHIRRAO HARSHAL ASHOK</t>
  </si>
  <si>
    <t>BAVASKAR JAYESH RAJENDRA</t>
  </si>
  <si>
    <t>BAVISKAR SHRUTI PRAVIN</t>
  </si>
  <si>
    <t>BELDAR SAHIL KHAN  AMIN KHAN</t>
  </si>
  <si>
    <t>BILADE DHANANJAY RAVINDRA</t>
  </si>
  <si>
    <t>BORASE ABHIJIT YUVARAJ</t>
  </si>
  <si>
    <t>BORASE HEMANT CHANDRASHEKHAR</t>
  </si>
  <si>
    <t>BORSE GANESH DNYANESHWAR</t>
  </si>
  <si>
    <t>CHAUDHARI AKANKSHA KISHOR</t>
  </si>
  <si>
    <t>CHAUDHARI HARSHADA DEEPAK</t>
  </si>
  <si>
    <t>CHAUDHARI HARSHAL KAILAS</t>
  </si>
  <si>
    <t>CHAUDHARI PRANJAL JAGDISH</t>
  </si>
  <si>
    <t>CHAUDHARI SHUBHAM KISHOR</t>
  </si>
  <si>
    <t>CHAVAN KUNAL NILKANTH</t>
  </si>
  <si>
    <t>CHAVAN ROHAN KANTILAL</t>
  </si>
  <si>
    <t>CHITTE SAKSHI VINOD</t>
  </si>
  <si>
    <t>DABHADE PRATIKSHA MARTAND</t>
  </si>
  <si>
    <t>DHOBI SAHIL SHAIKH AARIF</t>
  </si>
  <si>
    <t>DHOBI SHAIKH NAVEED SHAIKH MAHEMOOD</t>
  </si>
  <si>
    <t>DODE YOGESH RAJESH</t>
  </si>
  <si>
    <t>GAWARE VISHAL BALU</t>
  </si>
  <si>
    <t>GIRASE JAYESH KOMALSING</t>
  </si>
  <si>
    <t>GIRASE TANMAYI KIRANSING</t>
  </si>
  <si>
    <t>GURAV RADHIKA DHIRAJ</t>
  </si>
  <si>
    <t>JAGADALE JAYESH DNYANESHWAR</t>
  </si>
  <si>
    <t>JAMADAR NIKITA JITENDRA</t>
  </si>
  <si>
    <t>JOSHI AADITYA VASANT</t>
  </si>
  <si>
    <t>JOSHI ATHARVA VASANT</t>
  </si>
  <si>
    <t>KHAIRNAR HARSHAL PRAMOD</t>
  </si>
  <si>
    <t>KHAIRNAR KETAN EKNATH</t>
  </si>
  <si>
    <t>KOLI SANDHYA DEEPAK</t>
  </si>
  <si>
    <t>MAIN ABHISHEK SANJAY</t>
  </si>
  <si>
    <t>NERKAR PRERANA HEMARAJ</t>
  </si>
  <si>
    <t>PATIL ARPITA SAMBHAJI</t>
  </si>
  <si>
    <t>PATIL BHUSHAN RAVINDRA</t>
  </si>
  <si>
    <t>PATIL BHUSHAN SHANTARAM</t>
  </si>
  <si>
    <t>PATIL CHETAN DNYANESHWAR(VANDANA)</t>
  </si>
  <si>
    <t>PATIL CHETAN DNYANESHWAR(MANISHA)</t>
  </si>
  <si>
    <t>PATIL CHETAN PANDURANG</t>
  </si>
  <si>
    <t>PATIL DINESH BANSILAL</t>
  </si>
  <si>
    <t>PATIL DINESH VISHWAS</t>
  </si>
  <si>
    <t>PATIL DIPALI GAJENDRA</t>
  </si>
  <si>
    <t>PATIL DIVESH MADHUKAR</t>
  </si>
  <si>
    <t>PATIL HARSHAL VIKAS</t>
  </si>
  <si>
    <t>PATIL JAYESH RAVINDRA</t>
  </si>
  <si>
    <t>PATIL KUNAL RAVINDRA</t>
  </si>
  <si>
    <t>PATIL LALIT PRUTHVIRAJ</t>
  </si>
  <si>
    <t>PATIL MAYUR PRALHAD</t>
  </si>
  <si>
    <t>PATIL MAYUR YOGRAJ</t>
  </si>
  <si>
    <t>PATIL MAYURI SAMADHAN</t>
  </si>
  <si>
    <t>PATIL MAYURKUMAR SANJAY</t>
  </si>
  <si>
    <t>PATIL NILESH VISHWAS</t>
  </si>
  <si>
    <t>PATIL PRAVIN DNYANESHWAR</t>
  </si>
  <si>
    <t>PATIL PUSHPANJALI MANOHAR</t>
  </si>
  <si>
    <t>PATIL RAJ VIKAS</t>
  </si>
  <si>
    <t>PATIL RITESH CHUDAMAN</t>
  </si>
  <si>
    <t>PATIL SANIKA DAIVAT</t>
  </si>
  <si>
    <t>PATIL SIDDHARTH JIJABRAO</t>
  </si>
  <si>
    <t>PATIL VIPUL PRAKASH</t>
  </si>
  <si>
    <t>PATIL VIRENDRA RATILAL</t>
  </si>
  <si>
    <t>PATIL VIVEKANAND SANTOSH</t>
  </si>
  <si>
    <t>PATIL YASH RANGRAO</t>
  </si>
  <si>
    <t>PAWAR HARSHAL SHARAD</t>
  </si>
  <si>
    <t>PAWAR VIJAY MADHUKAR</t>
  </si>
  <si>
    <t>RAJPUT YOGESH RAMSAGUN</t>
  </si>
  <si>
    <t>SAINDANE NEHA SATISH</t>
  </si>
  <si>
    <t>SHENDE SATYAM PRASHANT</t>
  </si>
  <si>
    <t>SONAWANE CHETAN RAJENDRA</t>
  </si>
  <si>
    <t>SONAWANE NIKHIL PRADIP</t>
  </si>
  <si>
    <t>SURYAWANSHI KARTIK KISHOR</t>
  </si>
  <si>
    <t>THAKARE ROHIT NANDU</t>
  </si>
  <si>
    <t>TORAWANE GAURAV RAVINDRA</t>
  </si>
  <si>
    <t>WAGH SAKSHI RAKESH</t>
  </si>
  <si>
    <t>YEOLE NITIN SHRAVAN</t>
  </si>
  <si>
    <t>SYBCA</t>
  </si>
  <si>
    <t>9.86 </t>
  </si>
  <si>
    <t>9.43 </t>
  </si>
  <si>
    <t>ROLL NO</t>
  </si>
  <si>
    <t>TYBCA</t>
  </si>
  <si>
    <t>BAVISKAR KUNAL BHALERAO</t>
  </si>
  <si>
    <t>BHAMARE SUJATA SANJAY</t>
  </si>
  <si>
    <t>BORASE VIKAS SANJAY</t>
  </si>
  <si>
    <t>CHAUDHARI SWAPNIL ANIL</t>
  </si>
  <si>
    <t>DEORE AVINASH ARUN</t>
  </si>
  <si>
    <t>DEORE CHETAN SHIVAJI</t>
  </si>
  <si>
    <t>DESALE HARSHADA SHAHAJI</t>
  </si>
  <si>
    <t>KHARE PRASHANT MADHUKAR</t>
  </si>
  <si>
    <t>MOHAMMED JAWAAD SHAIKH FAZLURRAHMAN</t>
  </si>
  <si>
    <t>PATIL HARSHAWARDHAN ARUN</t>
  </si>
  <si>
    <t>PATIL SHUBHANGI ADHIKAR</t>
  </si>
  <si>
    <t>PATVE SHEKH SHAHID SHEKH AYUB</t>
  </si>
  <si>
    <t>SANER SANJANA SHARAD</t>
  </si>
  <si>
    <t>SHAIKH UZAIR NAZIMODDIN</t>
  </si>
  <si>
    <t>SONAR HIMANSHU ANIL</t>
  </si>
  <si>
    <t>SONAWANE LOKESH BHATU</t>
  </si>
  <si>
    <t>TAWADE GAURI SATISH</t>
  </si>
  <si>
    <t>UPASANI PRASAD SUNIL</t>
  </si>
  <si>
    <t>Pass</t>
  </si>
  <si>
    <t>DOSHI SAURAV VINAY</t>
  </si>
  <si>
    <t>JADHAV CHANDRAKANT SANJAY</t>
  </si>
  <si>
    <t>SHAIKH SAHIL SHAFI</t>
  </si>
  <si>
    <t>SHIRODE ADITYA NARENDRA</t>
  </si>
  <si>
    <t>YEOLEKAR AKSHAY SUNIL</t>
  </si>
  <si>
    <t xml:space="preserve">PASS        </t>
  </si>
  <si>
    <t>AHIRRAO NIKITA CHANDRAKANT</t>
  </si>
  <si>
    <t>MAHAJAN PRIYANKA SAHEBRAO</t>
  </si>
  <si>
    <t>MISTRI KOMAL VINAYAK</t>
  </si>
  <si>
    <t>PATIL PRATIK DIPAK</t>
  </si>
  <si>
    <t>PATIL SHUBHANGI CHANDRAKANT</t>
  </si>
  <si>
    <t>RAJPUT NANDINEE KIRAN</t>
  </si>
  <si>
    <t>SONAWANE JAYSHRI SUNIL</t>
  </si>
  <si>
    <t>TATAR MAYURI RAJENDRA</t>
  </si>
  <si>
    <t>WAGH HANSRAJ POPAT</t>
  </si>
  <si>
    <t>WAGH PRITI PRAKASH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</si>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</sst>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206" totalsRowShown="0">
  <autoFilter ref="A1:H206"/>
  <sortState ref="A2:G173">
    <sortCondition ref="A1:A98"/>
  </sortState>
  <tableColumns count="8">
    <tableColumn id="1" name="ROLL NO" dataDxfId="6"/>
    <tableColumn id="10" name="SR NO." dataDxfId="0"/>
    <tableColumn id="2" name="NAME" dataDxfId="5"/>
    <tableColumn id="3" name="COURSE" dataDxfId="4"/>
    <tableColumn id="4" name="RESULT" dataDxfId="3"/>
    <tableColumn id="5" name="PERCENTAGE" dataDxfId="1"/>
    <tableColumn id="8" name="CGPA" dataDxfId="2"/>
    <tableColumn id="9" name="TOTAL MARKS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tabSelected="1" workbookViewId="0">
      <selection activeCell="E4" sqref="E4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29.42578125" bestFit="1" customWidth="1"/>
    <col min="4" max="4" width="10.42578125" style="9" bestFit="1" customWidth="1"/>
    <col min="5" max="5" width="13.42578125" style="11" customWidth="1"/>
    <col min="6" max="6" width="14.85546875" bestFit="1" customWidth="1"/>
    <col min="7" max="7" width="8.28515625" bestFit="1" customWidth="1"/>
    <col min="8" max="8" width="15.85546875" bestFit="1" customWidth="1"/>
  </cols>
  <sheetData>
    <row r="1" spans="1:8" x14ac:dyDescent="0.25">
      <c r="A1" s="1" t="s">
        <v>187</v>
      </c>
      <c r="B1" s="1" t="s">
        <v>224</v>
      </c>
      <c r="C1" s="1" t="s">
        <v>3</v>
      </c>
      <c r="D1" s="8" t="s">
        <v>0</v>
      </c>
      <c r="E1" s="10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3" t="s">
        <v>8</v>
      </c>
      <c r="D2" s="8" t="s">
        <v>105</v>
      </c>
      <c r="E2" s="4" t="s">
        <v>106</v>
      </c>
      <c r="F2" s="12">
        <v>61.86</v>
      </c>
      <c r="G2" s="5">
        <v>6.43</v>
      </c>
      <c r="H2" s="6">
        <v>866</v>
      </c>
    </row>
    <row r="3" spans="1:8" x14ac:dyDescent="0.25">
      <c r="A3" s="2">
        <v>2</v>
      </c>
      <c r="B3" s="2">
        <v>2</v>
      </c>
      <c r="C3" s="3" t="s">
        <v>9</v>
      </c>
      <c r="D3" s="8" t="s">
        <v>105</v>
      </c>
      <c r="E3" s="4" t="s">
        <v>107</v>
      </c>
      <c r="F3" s="13">
        <v>77.930000000000007</v>
      </c>
      <c r="G3" s="7">
        <v>9.07</v>
      </c>
      <c r="H3" s="6">
        <v>1091</v>
      </c>
    </row>
    <row r="4" spans="1:8" x14ac:dyDescent="0.25">
      <c r="A4" s="2">
        <v>3</v>
      </c>
      <c r="B4" s="2">
        <v>3</v>
      </c>
      <c r="C4" s="3" t="s">
        <v>10</v>
      </c>
      <c r="D4" s="8" t="s">
        <v>105</v>
      </c>
      <c r="E4" s="4" t="s">
        <v>106</v>
      </c>
      <c r="F4" s="12">
        <v>63.64</v>
      </c>
      <c r="G4" s="5">
        <v>5.86</v>
      </c>
      <c r="H4" s="6">
        <v>891</v>
      </c>
    </row>
    <row r="5" spans="1:8" x14ac:dyDescent="0.25">
      <c r="A5" s="2">
        <v>4</v>
      </c>
      <c r="B5" s="2">
        <v>4</v>
      </c>
      <c r="C5" s="3" t="s">
        <v>11</v>
      </c>
      <c r="D5" s="8" t="s">
        <v>105</v>
      </c>
      <c r="E5" s="4" t="s">
        <v>107</v>
      </c>
      <c r="F5" s="13">
        <v>77.14</v>
      </c>
      <c r="G5" s="7">
        <v>9</v>
      </c>
      <c r="H5" s="6">
        <v>1080</v>
      </c>
    </row>
    <row r="6" spans="1:8" ht="25.5" x14ac:dyDescent="0.25">
      <c r="A6" s="2">
        <v>5</v>
      </c>
      <c r="B6" s="2">
        <v>5</v>
      </c>
      <c r="C6" s="3" t="s">
        <v>12</v>
      </c>
      <c r="D6" s="8" t="s">
        <v>105</v>
      </c>
      <c r="E6" s="4" t="s">
        <v>108</v>
      </c>
      <c r="F6" s="12">
        <v>48.79</v>
      </c>
      <c r="G6" s="5">
        <v>3.64</v>
      </c>
      <c r="H6" s="6">
        <v>683</v>
      </c>
    </row>
    <row r="7" spans="1:8" x14ac:dyDescent="0.25">
      <c r="A7" s="2">
        <v>6</v>
      </c>
      <c r="B7" s="2">
        <v>6</v>
      </c>
      <c r="C7" s="3" t="s">
        <v>13</v>
      </c>
      <c r="D7" s="8" t="s">
        <v>105</v>
      </c>
      <c r="E7" s="4" t="s">
        <v>106</v>
      </c>
      <c r="F7" s="13">
        <v>66</v>
      </c>
      <c r="G7" s="7">
        <v>6.71</v>
      </c>
      <c r="H7" s="6">
        <v>1924</v>
      </c>
    </row>
    <row r="8" spans="1:8" x14ac:dyDescent="0.25">
      <c r="A8" s="2">
        <v>7</v>
      </c>
      <c r="B8" s="2">
        <v>7</v>
      </c>
      <c r="C8" s="3" t="s">
        <v>14</v>
      </c>
      <c r="D8" s="8" t="s">
        <v>105</v>
      </c>
      <c r="E8" s="4" t="s">
        <v>106</v>
      </c>
      <c r="F8" s="12">
        <v>65.14</v>
      </c>
      <c r="G8" s="5">
        <v>6.86</v>
      </c>
      <c r="H8" s="6">
        <v>912</v>
      </c>
    </row>
    <row r="9" spans="1:8" x14ac:dyDescent="0.25">
      <c r="A9" s="2">
        <v>8</v>
      </c>
      <c r="B9" s="2">
        <v>8</v>
      </c>
      <c r="C9" s="3" t="s">
        <v>15</v>
      </c>
      <c r="D9" s="8" t="s">
        <v>105</v>
      </c>
      <c r="E9" s="4" t="s">
        <v>106</v>
      </c>
      <c r="F9" s="13">
        <v>63.21</v>
      </c>
      <c r="G9" s="7">
        <v>6.21</v>
      </c>
      <c r="H9" s="6">
        <v>885</v>
      </c>
    </row>
    <row r="10" spans="1:8" x14ac:dyDescent="0.25">
      <c r="A10" s="2">
        <v>9</v>
      </c>
      <c r="B10" s="2">
        <v>9</v>
      </c>
      <c r="C10" s="3" t="s">
        <v>16</v>
      </c>
      <c r="D10" s="8" t="s">
        <v>105</v>
      </c>
      <c r="E10" s="4" t="s">
        <v>107</v>
      </c>
      <c r="F10" s="12">
        <v>69.64</v>
      </c>
      <c r="G10" s="5">
        <v>8.5</v>
      </c>
      <c r="H10" s="6">
        <v>975</v>
      </c>
    </row>
    <row r="11" spans="1:8" x14ac:dyDescent="0.25">
      <c r="A11" s="2">
        <v>10</v>
      </c>
      <c r="B11" s="2">
        <v>10</v>
      </c>
      <c r="C11" s="3" t="s">
        <v>17</v>
      </c>
      <c r="D11" s="8" t="s">
        <v>105</v>
      </c>
      <c r="E11" s="4" t="s">
        <v>106</v>
      </c>
      <c r="F11" s="13">
        <v>66</v>
      </c>
      <c r="G11" s="7">
        <v>7.21</v>
      </c>
      <c r="H11" s="6">
        <v>924</v>
      </c>
    </row>
    <row r="12" spans="1:8" x14ac:dyDescent="0.25">
      <c r="A12" s="2">
        <v>11</v>
      </c>
      <c r="B12" s="2">
        <v>11</v>
      </c>
      <c r="C12" s="3" t="s">
        <v>18</v>
      </c>
      <c r="D12" s="8" t="s">
        <v>105</v>
      </c>
      <c r="E12" s="4" t="s">
        <v>106</v>
      </c>
      <c r="F12" s="12">
        <v>59.57</v>
      </c>
      <c r="G12" s="5">
        <v>5.21</v>
      </c>
      <c r="H12" s="6">
        <v>834</v>
      </c>
    </row>
    <row r="13" spans="1:8" x14ac:dyDescent="0.25">
      <c r="A13" s="2">
        <v>12</v>
      </c>
      <c r="B13" s="2">
        <v>12</v>
      </c>
      <c r="C13" s="3" t="s">
        <v>19</v>
      </c>
      <c r="D13" s="8" t="s">
        <v>105</v>
      </c>
      <c r="E13" s="4" t="s">
        <v>107</v>
      </c>
      <c r="F13" s="13">
        <v>66.14</v>
      </c>
      <c r="G13" s="7">
        <v>7.93</v>
      </c>
      <c r="H13" s="6">
        <v>926</v>
      </c>
    </row>
    <row r="14" spans="1:8" x14ac:dyDescent="0.25">
      <c r="A14" s="2">
        <v>13</v>
      </c>
      <c r="B14" s="2">
        <v>13</v>
      </c>
      <c r="C14" s="3" t="s">
        <v>20</v>
      </c>
      <c r="D14" s="8" t="s">
        <v>105</v>
      </c>
      <c r="E14" s="4" t="s">
        <v>107</v>
      </c>
      <c r="F14" s="12">
        <v>82.57</v>
      </c>
      <c r="G14" s="5">
        <v>9.36</v>
      </c>
      <c r="H14" s="6">
        <v>1156</v>
      </c>
    </row>
    <row r="15" spans="1:8" x14ac:dyDescent="0.25">
      <c r="A15" s="2">
        <v>14</v>
      </c>
      <c r="B15" s="2">
        <v>14</v>
      </c>
      <c r="C15" s="3" t="s">
        <v>21</v>
      </c>
      <c r="D15" s="8" t="s">
        <v>105</v>
      </c>
      <c r="E15" s="4" t="s">
        <v>107</v>
      </c>
      <c r="F15" s="13">
        <v>71.290000000000006</v>
      </c>
      <c r="G15" s="7">
        <v>8.5</v>
      </c>
      <c r="H15" s="6">
        <v>998</v>
      </c>
    </row>
    <row r="16" spans="1:8" x14ac:dyDescent="0.25">
      <c r="A16" s="2">
        <v>15</v>
      </c>
      <c r="B16" s="2">
        <v>15</v>
      </c>
      <c r="C16" s="3" t="s">
        <v>22</v>
      </c>
      <c r="D16" s="8" t="s">
        <v>105</v>
      </c>
      <c r="E16" s="4" t="s">
        <v>107</v>
      </c>
      <c r="F16" s="12">
        <v>68.36</v>
      </c>
      <c r="G16" s="5">
        <v>8.2100000000000009</v>
      </c>
      <c r="H16" s="6">
        <v>957</v>
      </c>
    </row>
    <row r="17" spans="1:8" x14ac:dyDescent="0.25">
      <c r="A17" s="2">
        <v>16</v>
      </c>
      <c r="B17" s="2">
        <v>16</v>
      </c>
      <c r="C17" s="3" t="s">
        <v>23</v>
      </c>
      <c r="D17" s="8" t="s">
        <v>105</v>
      </c>
      <c r="E17" s="4" t="s">
        <v>107</v>
      </c>
      <c r="F17" s="13">
        <v>64.930000000000007</v>
      </c>
      <c r="G17" s="7">
        <v>7.79</v>
      </c>
      <c r="H17" s="6">
        <v>909</v>
      </c>
    </row>
    <row r="18" spans="1:8" x14ac:dyDescent="0.25">
      <c r="A18" s="2">
        <v>17</v>
      </c>
      <c r="B18" s="2">
        <v>17</v>
      </c>
      <c r="C18" s="3" t="s">
        <v>24</v>
      </c>
      <c r="D18" s="8" t="s">
        <v>105</v>
      </c>
      <c r="E18" s="4" t="s">
        <v>107</v>
      </c>
      <c r="F18" s="12">
        <v>74</v>
      </c>
      <c r="G18" s="5">
        <v>8.86</v>
      </c>
      <c r="H18" s="6">
        <v>1036</v>
      </c>
    </row>
    <row r="19" spans="1:8" x14ac:dyDescent="0.25">
      <c r="A19" s="2">
        <v>18</v>
      </c>
      <c r="B19" s="2">
        <v>18</v>
      </c>
      <c r="C19" s="3" t="s">
        <v>25</v>
      </c>
      <c r="D19" s="8" t="s">
        <v>105</v>
      </c>
      <c r="E19" s="4" t="s">
        <v>106</v>
      </c>
      <c r="F19" s="13">
        <v>57.21</v>
      </c>
      <c r="G19" s="7">
        <v>5.36</v>
      </c>
      <c r="H19" s="6">
        <v>801</v>
      </c>
    </row>
    <row r="20" spans="1:8" x14ac:dyDescent="0.25">
      <c r="A20" s="2">
        <v>19</v>
      </c>
      <c r="B20" s="2">
        <v>19</v>
      </c>
      <c r="C20" s="3" t="s">
        <v>26</v>
      </c>
      <c r="D20" s="8" t="s">
        <v>105</v>
      </c>
      <c r="E20" s="4" t="s">
        <v>107</v>
      </c>
      <c r="F20" s="12">
        <v>74.790000000000006</v>
      </c>
      <c r="G20" s="5">
        <v>8.7100000000000009</v>
      </c>
      <c r="H20" s="6">
        <v>1047</v>
      </c>
    </row>
    <row r="21" spans="1:8" x14ac:dyDescent="0.25">
      <c r="A21" s="2">
        <v>20</v>
      </c>
      <c r="B21" s="2">
        <v>20</v>
      </c>
      <c r="C21" s="3" t="s">
        <v>27</v>
      </c>
      <c r="D21" s="8" t="s">
        <v>105</v>
      </c>
      <c r="E21" s="4" t="s">
        <v>106</v>
      </c>
      <c r="F21" s="13">
        <v>60.29</v>
      </c>
      <c r="G21" s="7">
        <v>5.86</v>
      </c>
      <c r="H21" s="6">
        <v>844</v>
      </c>
    </row>
    <row r="22" spans="1:8" x14ac:dyDescent="0.25">
      <c r="A22" s="2">
        <v>21</v>
      </c>
      <c r="B22" s="2">
        <v>21</v>
      </c>
      <c r="C22" s="3" t="s">
        <v>28</v>
      </c>
      <c r="D22" s="8" t="s">
        <v>105</v>
      </c>
      <c r="E22" s="4" t="s">
        <v>106</v>
      </c>
      <c r="F22" s="12">
        <v>65.569999999999993</v>
      </c>
      <c r="G22" s="5">
        <v>7.07</v>
      </c>
      <c r="H22" s="6">
        <v>918</v>
      </c>
    </row>
    <row r="23" spans="1:8" x14ac:dyDescent="0.25">
      <c r="A23" s="2">
        <v>22</v>
      </c>
      <c r="B23" s="2">
        <v>22</v>
      </c>
      <c r="C23" s="3" t="s">
        <v>29</v>
      </c>
      <c r="D23" s="8" t="s">
        <v>105</v>
      </c>
      <c r="E23" s="4" t="s">
        <v>106</v>
      </c>
      <c r="F23" s="13">
        <v>66</v>
      </c>
      <c r="G23" s="7">
        <v>7.43</v>
      </c>
      <c r="H23" s="6">
        <v>924</v>
      </c>
    </row>
    <row r="24" spans="1:8" x14ac:dyDescent="0.25">
      <c r="A24" s="2">
        <v>23</v>
      </c>
      <c r="B24" s="2">
        <v>23</v>
      </c>
      <c r="C24" s="3" t="s">
        <v>30</v>
      </c>
      <c r="D24" s="8" t="s">
        <v>105</v>
      </c>
      <c r="E24" s="4" t="s">
        <v>107</v>
      </c>
      <c r="F24" s="12">
        <v>80.86</v>
      </c>
      <c r="G24" s="5">
        <v>9.2899999999999991</v>
      </c>
      <c r="H24" s="6">
        <v>1132</v>
      </c>
    </row>
    <row r="25" spans="1:8" x14ac:dyDescent="0.25">
      <c r="A25" s="2">
        <v>24</v>
      </c>
      <c r="B25" s="2">
        <v>24</v>
      </c>
      <c r="C25" s="3" t="s">
        <v>31</v>
      </c>
      <c r="D25" s="8" t="s">
        <v>105</v>
      </c>
      <c r="E25" s="4" t="s">
        <v>107</v>
      </c>
      <c r="F25" s="13">
        <v>66.790000000000006</v>
      </c>
      <c r="G25" s="7">
        <v>7.93</v>
      </c>
      <c r="H25" s="6">
        <v>935</v>
      </c>
    </row>
    <row r="26" spans="1:8" x14ac:dyDescent="0.25">
      <c r="A26" s="2">
        <v>25</v>
      </c>
      <c r="B26" s="2">
        <v>25</v>
      </c>
      <c r="C26" s="3" t="s">
        <v>32</v>
      </c>
      <c r="D26" s="8" t="s">
        <v>105</v>
      </c>
      <c r="E26" s="4" t="s">
        <v>107</v>
      </c>
      <c r="F26" s="12">
        <v>79.14</v>
      </c>
      <c r="G26" s="5">
        <v>9.2899999999999991</v>
      </c>
      <c r="H26" s="6">
        <v>1108</v>
      </c>
    </row>
    <row r="27" spans="1:8" x14ac:dyDescent="0.25">
      <c r="A27" s="2">
        <v>26</v>
      </c>
      <c r="B27" s="2">
        <v>26</v>
      </c>
      <c r="C27" s="3" t="s">
        <v>33</v>
      </c>
      <c r="D27" s="8" t="s">
        <v>105</v>
      </c>
      <c r="E27" s="4" t="s">
        <v>106</v>
      </c>
      <c r="F27" s="13">
        <v>60.21</v>
      </c>
      <c r="G27" s="7">
        <v>6.5</v>
      </c>
      <c r="H27" s="6">
        <v>843</v>
      </c>
    </row>
    <row r="28" spans="1:8" x14ac:dyDescent="0.25">
      <c r="A28" s="2">
        <v>27</v>
      </c>
      <c r="B28" s="2">
        <v>27</v>
      </c>
      <c r="C28" s="3" t="s">
        <v>34</v>
      </c>
      <c r="D28" s="8" t="s">
        <v>105</v>
      </c>
      <c r="E28" s="4" t="s">
        <v>107</v>
      </c>
      <c r="F28" s="12">
        <v>84.21</v>
      </c>
      <c r="G28" s="5">
        <v>9.57</v>
      </c>
      <c r="H28" s="6">
        <v>1179</v>
      </c>
    </row>
    <row r="29" spans="1:8" x14ac:dyDescent="0.25">
      <c r="A29" s="2">
        <v>28</v>
      </c>
      <c r="B29" s="2">
        <v>28</v>
      </c>
      <c r="C29" s="3" t="s">
        <v>35</v>
      </c>
      <c r="D29" s="8" t="s">
        <v>105</v>
      </c>
      <c r="E29" s="4" t="s">
        <v>107</v>
      </c>
      <c r="F29" s="13">
        <v>84.29</v>
      </c>
      <c r="G29" s="7">
        <v>9.43</v>
      </c>
      <c r="H29" s="6">
        <v>1180</v>
      </c>
    </row>
    <row r="30" spans="1:8" x14ac:dyDescent="0.25">
      <c r="A30" s="2">
        <v>29</v>
      </c>
      <c r="B30" s="2">
        <v>29</v>
      </c>
      <c r="C30" s="3" t="s">
        <v>36</v>
      </c>
      <c r="D30" s="8" t="s">
        <v>105</v>
      </c>
      <c r="E30" s="4" t="s">
        <v>106</v>
      </c>
      <c r="F30" s="12">
        <v>63</v>
      </c>
      <c r="G30" s="5">
        <v>6.36</v>
      </c>
      <c r="H30" s="6">
        <v>882</v>
      </c>
    </row>
    <row r="31" spans="1:8" x14ac:dyDescent="0.25">
      <c r="A31" s="2">
        <v>30</v>
      </c>
      <c r="B31" s="2">
        <v>30</v>
      </c>
      <c r="C31" s="3" t="s">
        <v>37</v>
      </c>
      <c r="D31" s="8" t="s">
        <v>105</v>
      </c>
      <c r="E31" s="4" t="s">
        <v>107</v>
      </c>
      <c r="F31" s="13">
        <v>66.709999999999994</v>
      </c>
      <c r="G31" s="7">
        <v>7.86</v>
      </c>
      <c r="H31" s="6">
        <v>934</v>
      </c>
    </row>
    <row r="32" spans="1:8" x14ac:dyDescent="0.25">
      <c r="A32" s="2">
        <v>31</v>
      </c>
      <c r="B32" s="2">
        <v>31</v>
      </c>
      <c r="C32" s="3" t="s">
        <v>38</v>
      </c>
      <c r="D32" s="8" t="s">
        <v>105</v>
      </c>
      <c r="E32" s="4" t="s">
        <v>106</v>
      </c>
      <c r="F32" s="12">
        <v>62.57</v>
      </c>
      <c r="G32" s="5">
        <v>6.36</v>
      </c>
      <c r="H32" s="6">
        <v>876</v>
      </c>
    </row>
    <row r="33" spans="1:8" x14ac:dyDescent="0.25">
      <c r="A33" s="2">
        <v>32</v>
      </c>
      <c r="B33" s="2">
        <v>32</v>
      </c>
      <c r="C33" s="3" t="s">
        <v>39</v>
      </c>
      <c r="D33" s="8" t="s">
        <v>105</v>
      </c>
      <c r="E33" s="4" t="s">
        <v>107</v>
      </c>
      <c r="F33" s="13">
        <v>80</v>
      </c>
      <c r="G33" s="7">
        <v>9.43</v>
      </c>
      <c r="H33" s="6">
        <v>1120</v>
      </c>
    </row>
    <row r="34" spans="1:8" ht="25.5" x14ac:dyDescent="0.25">
      <c r="A34" s="2">
        <v>33</v>
      </c>
      <c r="B34" s="2">
        <v>33</v>
      </c>
      <c r="C34" s="3" t="s">
        <v>40</v>
      </c>
      <c r="D34" s="8" t="s">
        <v>105</v>
      </c>
      <c r="E34" s="4" t="s">
        <v>106</v>
      </c>
      <c r="F34" s="12">
        <v>60.86</v>
      </c>
      <c r="G34" s="5">
        <v>6.36</v>
      </c>
      <c r="H34" s="6">
        <v>852</v>
      </c>
    </row>
    <row r="35" spans="1:8" x14ac:dyDescent="0.25">
      <c r="A35" s="2">
        <v>34</v>
      </c>
      <c r="B35" s="2">
        <v>34</v>
      </c>
      <c r="C35" s="3" t="s">
        <v>41</v>
      </c>
      <c r="D35" s="8" t="s">
        <v>105</v>
      </c>
      <c r="E35" s="4" t="s">
        <v>108</v>
      </c>
      <c r="F35" s="13">
        <v>34.14</v>
      </c>
      <c r="G35" s="7">
        <v>1.87</v>
      </c>
      <c r="H35" s="6">
        <v>132</v>
      </c>
    </row>
    <row r="36" spans="1:8" x14ac:dyDescent="0.25">
      <c r="A36" s="2">
        <v>35</v>
      </c>
      <c r="B36" s="2">
        <v>35</v>
      </c>
      <c r="C36" s="3" t="s">
        <v>42</v>
      </c>
      <c r="D36" s="8" t="s">
        <v>105</v>
      </c>
      <c r="E36" s="4" t="s">
        <v>107</v>
      </c>
      <c r="F36" s="12">
        <v>74.569999999999993</v>
      </c>
      <c r="G36" s="5">
        <v>8.7100000000000009</v>
      </c>
      <c r="H36" s="6">
        <v>543</v>
      </c>
    </row>
    <row r="37" spans="1:8" x14ac:dyDescent="0.25">
      <c r="A37" s="2">
        <v>36</v>
      </c>
      <c r="B37" s="2">
        <v>36</v>
      </c>
      <c r="C37" s="3" t="s">
        <v>43</v>
      </c>
      <c r="D37" s="8" t="s">
        <v>105</v>
      </c>
      <c r="E37" s="4" t="s">
        <v>106</v>
      </c>
      <c r="F37" s="13">
        <v>57.43</v>
      </c>
      <c r="G37" s="7">
        <v>5.64</v>
      </c>
      <c r="H37" s="6">
        <v>804</v>
      </c>
    </row>
    <row r="38" spans="1:8" x14ac:dyDescent="0.25">
      <c r="A38" s="2">
        <v>37</v>
      </c>
      <c r="B38" s="2">
        <v>37</v>
      </c>
      <c r="C38" s="3" t="s">
        <v>44</v>
      </c>
      <c r="D38" s="8" t="s">
        <v>105</v>
      </c>
      <c r="E38" s="4" t="s">
        <v>107</v>
      </c>
      <c r="F38" s="12">
        <v>77.86</v>
      </c>
      <c r="G38" s="5">
        <v>9</v>
      </c>
      <c r="H38" s="6">
        <v>560</v>
      </c>
    </row>
    <row r="39" spans="1:8" x14ac:dyDescent="0.25">
      <c r="A39" s="2">
        <v>38</v>
      </c>
      <c r="B39" s="2">
        <v>38</v>
      </c>
      <c r="C39" s="3" t="s">
        <v>45</v>
      </c>
      <c r="D39" s="8" t="s">
        <v>105</v>
      </c>
      <c r="E39" s="4" t="s">
        <v>107</v>
      </c>
      <c r="F39" s="13">
        <v>82.79</v>
      </c>
      <c r="G39" s="7">
        <v>9.36</v>
      </c>
      <c r="H39" s="6">
        <v>594</v>
      </c>
    </row>
    <row r="40" spans="1:8" x14ac:dyDescent="0.25">
      <c r="A40" s="2">
        <v>39</v>
      </c>
      <c r="B40" s="2">
        <v>39</v>
      </c>
      <c r="C40" s="3" t="s">
        <v>46</v>
      </c>
      <c r="D40" s="8" t="s">
        <v>105</v>
      </c>
      <c r="E40" s="4" t="s">
        <v>107</v>
      </c>
      <c r="F40" s="12">
        <v>69.14</v>
      </c>
      <c r="G40" s="5">
        <v>8.43</v>
      </c>
      <c r="H40" s="6">
        <v>490</v>
      </c>
    </row>
    <row r="41" spans="1:8" x14ac:dyDescent="0.25">
      <c r="A41" s="2">
        <v>40</v>
      </c>
      <c r="B41" s="2">
        <v>40</v>
      </c>
      <c r="C41" s="3" t="s">
        <v>47</v>
      </c>
      <c r="D41" s="8" t="s">
        <v>105</v>
      </c>
      <c r="E41" s="4" t="s">
        <v>107</v>
      </c>
      <c r="F41" s="13">
        <v>64.930000000000007</v>
      </c>
      <c r="G41" s="7">
        <v>7.79</v>
      </c>
      <c r="H41" s="6">
        <v>475</v>
      </c>
    </row>
    <row r="42" spans="1:8" x14ac:dyDescent="0.25">
      <c r="A42" s="2">
        <v>41</v>
      </c>
      <c r="B42" s="2">
        <v>41</v>
      </c>
      <c r="C42" s="3" t="s">
        <v>48</v>
      </c>
      <c r="D42" s="8" t="s">
        <v>105</v>
      </c>
      <c r="E42" s="4" t="s">
        <v>106</v>
      </c>
      <c r="F42" s="12">
        <v>65.290000000000006</v>
      </c>
      <c r="G42" s="5">
        <v>7.07</v>
      </c>
      <c r="H42" s="6">
        <v>460</v>
      </c>
    </row>
    <row r="43" spans="1:8" x14ac:dyDescent="0.25">
      <c r="A43" s="2">
        <v>42</v>
      </c>
      <c r="B43" s="2">
        <v>42</v>
      </c>
      <c r="C43" s="3" t="s">
        <v>49</v>
      </c>
      <c r="D43" s="8" t="s">
        <v>105</v>
      </c>
      <c r="E43" s="4" t="s">
        <v>107</v>
      </c>
      <c r="F43" s="13">
        <v>65.069999999999993</v>
      </c>
      <c r="G43" s="7">
        <v>7.86</v>
      </c>
      <c r="H43" s="6">
        <v>462</v>
      </c>
    </row>
    <row r="44" spans="1:8" x14ac:dyDescent="0.25">
      <c r="A44" s="2">
        <v>43</v>
      </c>
      <c r="B44" s="2">
        <v>43</v>
      </c>
      <c r="C44" s="3" t="s">
        <v>50</v>
      </c>
      <c r="D44" s="8" t="s">
        <v>105</v>
      </c>
      <c r="E44" s="4" t="s">
        <v>106</v>
      </c>
      <c r="F44" s="12">
        <v>67.430000000000007</v>
      </c>
      <c r="G44" s="5">
        <v>7.86</v>
      </c>
      <c r="H44" s="6">
        <v>478</v>
      </c>
    </row>
    <row r="45" spans="1:8" x14ac:dyDescent="0.25">
      <c r="A45" s="2">
        <v>44</v>
      </c>
      <c r="B45" s="2">
        <v>44</v>
      </c>
      <c r="C45" s="3" t="s">
        <v>51</v>
      </c>
      <c r="D45" s="8" t="s">
        <v>105</v>
      </c>
      <c r="E45" s="4" t="s">
        <v>107</v>
      </c>
      <c r="F45" s="13">
        <v>76.290000000000006</v>
      </c>
      <c r="G45" s="7">
        <v>8.93</v>
      </c>
      <c r="H45" s="6">
        <v>545</v>
      </c>
    </row>
    <row r="46" spans="1:8" x14ac:dyDescent="0.25">
      <c r="A46" s="2">
        <v>45</v>
      </c>
      <c r="B46" s="2">
        <v>45</v>
      </c>
      <c r="C46" s="3" t="s">
        <v>52</v>
      </c>
      <c r="D46" s="8" t="s">
        <v>105</v>
      </c>
      <c r="E46" s="4" t="s">
        <v>106</v>
      </c>
      <c r="F46" s="12">
        <v>69.430000000000007</v>
      </c>
      <c r="G46" s="5">
        <v>7.93</v>
      </c>
      <c r="H46" s="6">
        <v>467</v>
      </c>
    </row>
    <row r="47" spans="1:8" x14ac:dyDescent="0.25">
      <c r="A47" s="2">
        <v>46</v>
      </c>
      <c r="B47" s="2">
        <v>46</v>
      </c>
      <c r="C47" s="3" t="s">
        <v>53</v>
      </c>
      <c r="D47" s="8" t="s">
        <v>105</v>
      </c>
      <c r="E47" s="4" t="s">
        <v>107</v>
      </c>
      <c r="F47" s="13">
        <v>67.14</v>
      </c>
      <c r="G47" s="7">
        <v>8.07</v>
      </c>
      <c r="H47" s="6">
        <v>490</v>
      </c>
    </row>
    <row r="48" spans="1:8" x14ac:dyDescent="0.25">
      <c r="A48" s="2">
        <v>47</v>
      </c>
      <c r="B48" s="2">
        <v>47</v>
      </c>
      <c r="C48" s="3" t="s">
        <v>54</v>
      </c>
      <c r="D48" s="8" t="s">
        <v>105</v>
      </c>
      <c r="E48" s="4" t="s">
        <v>106</v>
      </c>
      <c r="F48" s="12">
        <v>68.069999999999993</v>
      </c>
      <c r="G48" s="5">
        <v>7.79</v>
      </c>
      <c r="H48" s="6">
        <v>478</v>
      </c>
    </row>
    <row r="49" spans="1:8" x14ac:dyDescent="0.25">
      <c r="A49" s="2">
        <v>48</v>
      </c>
      <c r="B49" s="2">
        <v>48</v>
      </c>
      <c r="C49" s="3" t="s">
        <v>55</v>
      </c>
      <c r="D49" s="8" t="s">
        <v>105</v>
      </c>
      <c r="E49" s="4" t="s">
        <v>106</v>
      </c>
      <c r="F49" s="13">
        <v>60.57</v>
      </c>
      <c r="G49" s="7">
        <v>6.79</v>
      </c>
      <c r="H49" s="6">
        <v>422</v>
      </c>
    </row>
    <row r="50" spans="1:8" x14ac:dyDescent="0.25">
      <c r="A50" s="2">
        <v>49</v>
      </c>
      <c r="B50" s="2">
        <v>49</v>
      </c>
      <c r="C50" s="3" t="s">
        <v>56</v>
      </c>
      <c r="D50" s="8" t="s">
        <v>105</v>
      </c>
      <c r="E50" s="4" t="s">
        <v>106</v>
      </c>
      <c r="F50" s="12">
        <v>66</v>
      </c>
      <c r="G50" s="5">
        <v>7.57</v>
      </c>
      <c r="H50" s="6">
        <v>449</v>
      </c>
    </row>
    <row r="51" spans="1:8" x14ac:dyDescent="0.25">
      <c r="A51" s="2">
        <v>50</v>
      </c>
      <c r="B51" s="2">
        <v>50</v>
      </c>
      <c r="C51" s="3" t="s">
        <v>57</v>
      </c>
      <c r="D51" s="8" t="s">
        <v>105</v>
      </c>
      <c r="E51" s="4" t="s">
        <v>106</v>
      </c>
      <c r="F51" s="13">
        <v>63.7</v>
      </c>
      <c r="G51" s="7">
        <v>6.79</v>
      </c>
      <c r="H51" s="6">
        <v>434</v>
      </c>
    </row>
    <row r="52" spans="1:8" x14ac:dyDescent="0.25">
      <c r="A52" s="2">
        <v>51</v>
      </c>
      <c r="B52" s="2">
        <v>51</v>
      </c>
      <c r="C52" s="3" t="s">
        <v>58</v>
      </c>
      <c r="D52" s="8" t="s">
        <v>105</v>
      </c>
      <c r="E52" s="4" t="s">
        <v>107</v>
      </c>
      <c r="F52" s="12">
        <v>85.86</v>
      </c>
      <c r="G52" s="5">
        <v>9.7100000000000009</v>
      </c>
      <c r="H52" s="6">
        <v>596</v>
      </c>
    </row>
    <row r="53" spans="1:8" x14ac:dyDescent="0.25">
      <c r="A53" s="2">
        <v>52</v>
      </c>
      <c r="B53" s="2">
        <v>52</v>
      </c>
      <c r="C53" s="3" t="s">
        <v>59</v>
      </c>
      <c r="D53" s="8" t="s">
        <v>105</v>
      </c>
      <c r="E53" s="4" t="s">
        <v>106</v>
      </c>
      <c r="F53" s="13">
        <v>59.86</v>
      </c>
      <c r="G53" s="7">
        <v>5.79</v>
      </c>
      <c r="H53" s="6">
        <v>428</v>
      </c>
    </row>
    <row r="54" spans="1:8" x14ac:dyDescent="0.25">
      <c r="A54" s="2">
        <v>53</v>
      </c>
      <c r="B54" s="2">
        <v>53</v>
      </c>
      <c r="C54" s="3" t="s">
        <v>60</v>
      </c>
      <c r="D54" s="8" t="s">
        <v>105</v>
      </c>
      <c r="E54" s="4" t="s">
        <v>106</v>
      </c>
      <c r="F54" s="12">
        <v>66.64</v>
      </c>
      <c r="G54" s="5">
        <v>7.64</v>
      </c>
      <c r="H54" s="6">
        <v>475</v>
      </c>
    </row>
    <row r="55" spans="1:8" x14ac:dyDescent="0.25">
      <c r="A55" s="2">
        <v>54</v>
      </c>
      <c r="B55" s="2">
        <v>54</v>
      </c>
      <c r="C55" s="3" t="s">
        <v>61</v>
      </c>
      <c r="D55" s="8" t="s">
        <v>105</v>
      </c>
      <c r="E55" s="4" t="s">
        <v>108</v>
      </c>
      <c r="F55" s="13">
        <v>54.86</v>
      </c>
      <c r="G55" s="7">
        <v>4.1399999999999997</v>
      </c>
      <c r="H55" s="6">
        <v>768</v>
      </c>
    </row>
    <row r="56" spans="1:8" x14ac:dyDescent="0.25">
      <c r="A56" s="2">
        <v>55</v>
      </c>
      <c r="B56" s="2">
        <v>55</v>
      </c>
      <c r="C56" s="3" t="s">
        <v>62</v>
      </c>
      <c r="D56" s="8" t="s">
        <v>105</v>
      </c>
      <c r="E56" s="4" t="s">
        <v>106</v>
      </c>
      <c r="F56" s="12">
        <v>65.36</v>
      </c>
      <c r="G56" s="5">
        <v>6.79</v>
      </c>
      <c r="H56" s="6">
        <v>480</v>
      </c>
    </row>
    <row r="57" spans="1:8" x14ac:dyDescent="0.25">
      <c r="A57" s="2">
        <v>56</v>
      </c>
      <c r="B57" s="2">
        <v>56</v>
      </c>
      <c r="C57" s="3" t="s">
        <v>63</v>
      </c>
      <c r="D57" s="8" t="s">
        <v>105</v>
      </c>
      <c r="E57" s="4" t="s">
        <v>107</v>
      </c>
      <c r="F57" s="13">
        <v>86.93</v>
      </c>
      <c r="G57" s="7">
        <v>9.7100000000000009</v>
      </c>
      <c r="H57" s="6">
        <v>1217</v>
      </c>
    </row>
    <row r="58" spans="1:8" x14ac:dyDescent="0.25">
      <c r="A58" s="2">
        <v>57</v>
      </c>
      <c r="B58" s="2">
        <v>57</v>
      </c>
      <c r="C58" s="3" t="s">
        <v>64</v>
      </c>
      <c r="D58" s="8" t="s">
        <v>105</v>
      </c>
      <c r="E58" s="4" t="s">
        <v>108</v>
      </c>
      <c r="F58" s="12">
        <v>58.79</v>
      </c>
      <c r="G58" s="5">
        <v>4.8600000000000003</v>
      </c>
      <c r="H58" s="6">
        <v>424</v>
      </c>
    </row>
    <row r="59" spans="1:8" x14ac:dyDescent="0.25">
      <c r="A59" s="2">
        <v>58</v>
      </c>
      <c r="B59" s="2">
        <v>58</v>
      </c>
      <c r="C59" s="3" t="s">
        <v>65</v>
      </c>
      <c r="D59" s="8" t="s">
        <v>105</v>
      </c>
      <c r="E59" s="4" t="s">
        <v>107</v>
      </c>
      <c r="F59" s="13">
        <v>73.709999999999994</v>
      </c>
      <c r="G59" s="7">
        <v>8.7899999999999991</v>
      </c>
      <c r="H59" s="6">
        <v>531</v>
      </c>
    </row>
    <row r="60" spans="1:8" x14ac:dyDescent="0.25">
      <c r="A60" s="2">
        <v>59</v>
      </c>
      <c r="B60" s="2">
        <v>59</v>
      </c>
      <c r="C60" s="3" t="s">
        <v>66</v>
      </c>
      <c r="D60" s="8" t="s">
        <v>105</v>
      </c>
      <c r="E60" s="4" t="s">
        <v>106</v>
      </c>
      <c r="F60" s="12">
        <v>71.790000000000006</v>
      </c>
      <c r="G60" s="5">
        <v>8.07</v>
      </c>
      <c r="H60" s="6">
        <v>504</v>
      </c>
    </row>
    <row r="61" spans="1:8" x14ac:dyDescent="0.25">
      <c r="A61" s="2">
        <v>60</v>
      </c>
      <c r="B61" s="2">
        <v>60</v>
      </c>
      <c r="C61" s="3" t="s">
        <v>67</v>
      </c>
      <c r="D61" s="8" t="s">
        <v>105</v>
      </c>
      <c r="E61" s="4" t="s">
        <v>107</v>
      </c>
      <c r="F61" s="13">
        <v>76.5</v>
      </c>
      <c r="G61" s="7">
        <v>9</v>
      </c>
      <c r="H61" s="6">
        <v>537</v>
      </c>
    </row>
    <row r="62" spans="1:8" x14ac:dyDescent="0.25">
      <c r="A62" s="2">
        <v>61</v>
      </c>
      <c r="B62" s="2">
        <v>61</v>
      </c>
      <c r="C62" s="3" t="s">
        <v>68</v>
      </c>
      <c r="D62" s="8" t="s">
        <v>105</v>
      </c>
      <c r="E62" s="4" t="s">
        <v>106</v>
      </c>
      <c r="F62" s="12">
        <v>58.71</v>
      </c>
      <c r="G62" s="5">
        <v>5.14</v>
      </c>
      <c r="H62" s="6">
        <v>429</v>
      </c>
    </row>
    <row r="63" spans="1:8" x14ac:dyDescent="0.25">
      <c r="A63" s="2">
        <v>62</v>
      </c>
      <c r="B63" s="2">
        <v>62</v>
      </c>
      <c r="C63" s="3" t="s">
        <v>69</v>
      </c>
      <c r="D63" s="8" t="s">
        <v>105</v>
      </c>
      <c r="E63" s="4" t="s">
        <v>106</v>
      </c>
      <c r="F63" s="13">
        <v>61.29</v>
      </c>
      <c r="G63" s="7">
        <v>6.29</v>
      </c>
      <c r="H63" s="6">
        <v>427</v>
      </c>
    </row>
    <row r="64" spans="1:8" x14ac:dyDescent="0.25">
      <c r="A64" s="2">
        <v>63</v>
      </c>
      <c r="B64" s="2">
        <v>63</v>
      </c>
      <c r="C64" s="3" t="s">
        <v>70</v>
      </c>
      <c r="D64" s="8" t="s">
        <v>105</v>
      </c>
      <c r="E64" s="4" t="s">
        <v>106</v>
      </c>
      <c r="F64" s="12">
        <v>59</v>
      </c>
      <c r="G64" s="5">
        <v>5.36</v>
      </c>
      <c r="H64" s="6">
        <v>453</v>
      </c>
    </row>
    <row r="65" spans="1:8" x14ac:dyDescent="0.25">
      <c r="A65" s="2">
        <v>64</v>
      </c>
      <c r="B65" s="2">
        <v>64</v>
      </c>
      <c r="C65" s="3" t="s">
        <v>71</v>
      </c>
      <c r="D65" s="8" t="s">
        <v>105</v>
      </c>
      <c r="E65" s="4" t="s">
        <v>106</v>
      </c>
      <c r="F65" s="13">
        <v>62.14</v>
      </c>
      <c r="G65" s="7">
        <v>5.86</v>
      </c>
      <c r="H65" s="6">
        <v>448</v>
      </c>
    </row>
    <row r="66" spans="1:8" x14ac:dyDescent="0.25">
      <c r="A66" s="2">
        <v>65</v>
      </c>
      <c r="B66" s="2">
        <v>65</v>
      </c>
      <c r="C66" s="3" t="s">
        <v>72</v>
      </c>
      <c r="D66" s="8" t="s">
        <v>105</v>
      </c>
      <c r="E66" s="4" t="s">
        <v>107</v>
      </c>
      <c r="F66" s="12">
        <v>81.5</v>
      </c>
      <c r="G66" s="5">
        <v>9.36</v>
      </c>
      <c r="H66" s="6">
        <v>587</v>
      </c>
    </row>
    <row r="67" spans="1:8" x14ac:dyDescent="0.25">
      <c r="A67" s="2">
        <v>66</v>
      </c>
      <c r="B67" s="2">
        <v>66</v>
      </c>
      <c r="C67" s="3" t="s">
        <v>73</v>
      </c>
      <c r="D67" s="8" t="s">
        <v>105</v>
      </c>
      <c r="E67" s="4" t="s">
        <v>107</v>
      </c>
      <c r="F67" s="13">
        <v>75.430000000000007</v>
      </c>
      <c r="G67" s="7">
        <v>8.93</v>
      </c>
      <c r="H67" s="6">
        <v>538</v>
      </c>
    </row>
    <row r="68" spans="1:8" x14ac:dyDescent="0.25">
      <c r="A68" s="2">
        <v>67</v>
      </c>
      <c r="B68" s="2">
        <v>67</v>
      </c>
      <c r="C68" s="3" t="s">
        <v>74</v>
      </c>
      <c r="D68" s="8" t="s">
        <v>105</v>
      </c>
      <c r="E68" s="4" t="s">
        <v>108</v>
      </c>
      <c r="F68" s="12">
        <v>53.21</v>
      </c>
      <c r="G68" s="5">
        <v>4.57</v>
      </c>
      <c r="H68" s="6">
        <v>404</v>
      </c>
    </row>
    <row r="69" spans="1:8" x14ac:dyDescent="0.25">
      <c r="A69" s="2">
        <v>68</v>
      </c>
      <c r="B69" s="2">
        <v>68</v>
      </c>
      <c r="C69" s="3" t="s">
        <v>75</v>
      </c>
      <c r="D69" s="8" t="s">
        <v>105</v>
      </c>
      <c r="E69" s="4" t="s">
        <v>106</v>
      </c>
      <c r="F69" s="13">
        <v>66.5</v>
      </c>
      <c r="G69" s="7">
        <v>6.43</v>
      </c>
      <c r="H69" s="6">
        <v>500</v>
      </c>
    </row>
    <row r="70" spans="1:8" x14ac:dyDescent="0.25">
      <c r="A70" s="2">
        <v>69</v>
      </c>
      <c r="B70" s="2">
        <v>69</v>
      </c>
      <c r="C70" s="3" t="s">
        <v>76</v>
      </c>
      <c r="D70" s="8" t="s">
        <v>105</v>
      </c>
      <c r="E70" s="4" t="s">
        <v>107</v>
      </c>
      <c r="F70" s="12">
        <v>79.790000000000006</v>
      </c>
      <c r="G70" s="5">
        <v>9.14</v>
      </c>
      <c r="H70" s="6">
        <v>573</v>
      </c>
    </row>
    <row r="71" spans="1:8" x14ac:dyDescent="0.25">
      <c r="A71" s="2">
        <v>70</v>
      </c>
      <c r="B71" s="2">
        <v>70</v>
      </c>
      <c r="C71" s="3" t="s">
        <v>77</v>
      </c>
      <c r="D71" s="8" t="s">
        <v>105</v>
      </c>
      <c r="E71" s="4" t="s">
        <v>106</v>
      </c>
      <c r="F71" s="13">
        <v>61.5</v>
      </c>
      <c r="G71" s="7">
        <v>6.57</v>
      </c>
      <c r="H71" s="6">
        <v>432</v>
      </c>
    </row>
    <row r="72" spans="1:8" x14ac:dyDescent="0.25">
      <c r="A72" s="2">
        <v>71</v>
      </c>
      <c r="B72" s="2">
        <v>71</v>
      </c>
      <c r="C72" s="3" t="s">
        <v>78</v>
      </c>
      <c r="D72" s="8" t="s">
        <v>105</v>
      </c>
      <c r="E72" s="4" t="s">
        <v>107</v>
      </c>
      <c r="F72" s="12">
        <v>69.209999999999994</v>
      </c>
      <c r="G72" s="5">
        <v>8.43</v>
      </c>
      <c r="H72" s="6">
        <v>494</v>
      </c>
    </row>
    <row r="73" spans="1:8" x14ac:dyDescent="0.25">
      <c r="A73" s="2">
        <v>72</v>
      </c>
      <c r="B73" s="2">
        <v>72</v>
      </c>
      <c r="C73" s="3" t="s">
        <v>79</v>
      </c>
      <c r="D73" s="8" t="s">
        <v>105</v>
      </c>
      <c r="E73" s="4" t="s">
        <v>108</v>
      </c>
      <c r="F73" s="13">
        <v>57.5</v>
      </c>
      <c r="G73" s="7">
        <v>4.8600000000000003</v>
      </c>
      <c r="H73" s="6">
        <v>306</v>
      </c>
    </row>
    <row r="74" spans="1:8" x14ac:dyDescent="0.25">
      <c r="A74" s="2">
        <v>73</v>
      </c>
      <c r="B74" s="2">
        <v>73</v>
      </c>
      <c r="C74" s="3" t="s">
        <v>80</v>
      </c>
      <c r="D74" s="8" t="s">
        <v>105</v>
      </c>
      <c r="E74" s="4" t="s">
        <v>106</v>
      </c>
      <c r="F74" s="12">
        <v>70.209999999999994</v>
      </c>
      <c r="G74" s="5">
        <v>8.07</v>
      </c>
      <c r="H74" s="6">
        <v>502</v>
      </c>
    </row>
    <row r="75" spans="1:8" x14ac:dyDescent="0.25">
      <c r="A75" s="2">
        <v>74</v>
      </c>
      <c r="B75" s="2">
        <v>74</v>
      </c>
      <c r="C75" s="3" t="s">
        <v>81</v>
      </c>
      <c r="D75" s="8" t="s">
        <v>105</v>
      </c>
      <c r="E75" s="4" t="s">
        <v>106</v>
      </c>
      <c r="F75" s="13">
        <v>63.5</v>
      </c>
      <c r="G75" s="7">
        <v>6.79</v>
      </c>
      <c r="H75" s="6">
        <v>449</v>
      </c>
    </row>
    <row r="76" spans="1:8" x14ac:dyDescent="0.25">
      <c r="A76" s="2">
        <v>75</v>
      </c>
      <c r="B76" s="2">
        <v>75</v>
      </c>
      <c r="C76" s="3" t="s">
        <v>82</v>
      </c>
      <c r="D76" s="8" t="s">
        <v>105</v>
      </c>
      <c r="E76" s="4" t="s">
        <v>107</v>
      </c>
      <c r="F76" s="12">
        <v>73</v>
      </c>
      <c r="G76" s="5">
        <v>8.57</v>
      </c>
      <c r="H76" s="6">
        <v>526</v>
      </c>
    </row>
    <row r="77" spans="1:8" x14ac:dyDescent="0.25">
      <c r="A77" s="2">
        <v>76</v>
      </c>
      <c r="B77" s="2">
        <v>76</v>
      </c>
      <c r="C77" s="3" t="s">
        <v>83</v>
      </c>
      <c r="D77" s="8" t="s">
        <v>105</v>
      </c>
      <c r="E77" s="4" t="s">
        <v>107</v>
      </c>
      <c r="F77" s="13">
        <v>65.5</v>
      </c>
      <c r="G77" s="7">
        <v>7.93</v>
      </c>
      <c r="H77" s="6">
        <v>467</v>
      </c>
    </row>
    <row r="78" spans="1:8" x14ac:dyDescent="0.25">
      <c r="A78" s="2">
        <v>77</v>
      </c>
      <c r="B78" s="2">
        <v>77</v>
      </c>
      <c r="C78" s="3" t="s">
        <v>84</v>
      </c>
      <c r="D78" s="8" t="s">
        <v>105</v>
      </c>
      <c r="E78" s="4" t="s">
        <v>108</v>
      </c>
      <c r="F78" s="12">
        <v>53.79</v>
      </c>
      <c r="G78" s="5">
        <v>4.79</v>
      </c>
      <c r="H78" s="6">
        <v>407</v>
      </c>
    </row>
    <row r="79" spans="1:8" x14ac:dyDescent="0.25">
      <c r="A79" s="2">
        <v>78</v>
      </c>
      <c r="B79" s="2">
        <v>78</v>
      </c>
      <c r="C79" s="3" t="s">
        <v>85</v>
      </c>
      <c r="D79" s="8" t="s">
        <v>105</v>
      </c>
      <c r="E79" s="4" t="s">
        <v>107</v>
      </c>
      <c r="F79" s="13">
        <v>75.5</v>
      </c>
      <c r="G79" s="7">
        <v>9</v>
      </c>
      <c r="H79" s="6">
        <v>527</v>
      </c>
    </row>
    <row r="80" spans="1:8" x14ac:dyDescent="0.25">
      <c r="A80" s="2">
        <v>79</v>
      </c>
      <c r="B80" s="2">
        <v>79</v>
      </c>
      <c r="C80" s="3" t="s">
        <v>86</v>
      </c>
      <c r="D80" s="8" t="s">
        <v>105</v>
      </c>
      <c r="E80" s="4" t="s">
        <v>108</v>
      </c>
      <c r="F80" s="12">
        <v>52.93</v>
      </c>
      <c r="G80" s="5">
        <v>4.29</v>
      </c>
      <c r="H80" s="6">
        <v>393</v>
      </c>
    </row>
    <row r="81" spans="1:8" x14ac:dyDescent="0.25">
      <c r="A81" s="2">
        <v>80</v>
      </c>
      <c r="B81" s="2">
        <v>80</v>
      </c>
      <c r="C81" s="3" t="s">
        <v>87</v>
      </c>
      <c r="D81" s="8" t="s">
        <v>105</v>
      </c>
      <c r="E81" s="4" t="s">
        <v>107</v>
      </c>
      <c r="F81" s="13">
        <v>76.930000000000007</v>
      </c>
      <c r="G81" s="7">
        <v>8.86</v>
      </c>
      <c r="H81" s="6">
        <v>542</v>
      </c>
    </row>
    <row r="82" spans="1:8" x14ac:dyDescent="0.25">
      <c r="A82" s="2">
        <v>81</v>
      </c>
      <c r="B82" s="2">
        <v>81</v>
      </c>
      <c r="C82" s="3" t="s">
        <v>88</v>
      </c>
      <c r="D82" s="8" t="s">
        <v>105</v>
      </c>
      <c r="E82" s="4" t="s">
        <v>108</v>
      </c>
      <c r="F82" s="12">
        <v>57.71</v>
      </c>
      <c r="G82" s="5">
        <v>4.93</v>
      </c>
      <c r="H82" s="6">
        <v>421</v>
      </c>
    </row>
    <row r="83" spans="1:8" x14ac:dyDescent="0.25">
      <c r="A83" s="2">
        <v>82</v>
      </c>
      <c r="B83" s="2">
        <v>82</v>
      </c>
      <c r="C83" s="3" t="s">
        <v>89</v>
      </c>
      <c r="D83" s="8" t="s">
        <v>105</v>
      </c>
      <c r="E83" s="4" t="s">
        <v>107</v>
      </c>
      <c r="F83" s="13">
        <v>66.790000000000006</v>
      </c>
      <c r="G83" s="7">
        <v>8.07</v>
      </c>
      <c r="H83" s="6">
        <v>1400</v>
      </c>
    </row>
    <row r="84" spans="1:8" x14ac:dyDescent="0.25">
      <c r="A84" s="2">
        <v>83</v>
      </c>
      <c r="B84" s="2">
        <v>83</v>
      </c>
      <c r="C84" s="3" t="s">
        <v>90</v>
      </c>
      <c r="D84" s="8" t="s">
        <v>105</v>
      </c>
      <c r="E84" s="4" t="s">
        <v>106</v>
      </c>
      <c r="F84" s="12">
        <v>55.29</v>
      </c>
      <c r="G84" s="5">
        <v>4.93</v>
      </c>
      <c r="H84" s="6">
        <v>412</v>
      </c>
    </row>
    <row r="85" spans="1:8" x14ac:dyDescent="0.25">
      <c r="A85" s="2">
        <v>84</v>
      </c>
      <c r="B85" s="2">
        <v>84</v>
      </c>
      <c r="C85" s="3" t="s">
        <v>91</v>
      </c>
      <c r="D85" s="8" t="s">
        <v>105</v>
      </c>
      <c r="E85" s="4" t="s">
        <v>106</v>
      </c>
      <c r="F85" s="13">
        <v>62.86</v>
      </c>
      <c r="G85" s="7">
        <v>6.14</v>
      </c>
      <c r="H85" s="6">
        <v>465</v>
      </c>
    </row>
    <row r="86" spans="1:8" x14ac:dyDescent="0.25">
      <c r="A86" s="2">
        <v>85</v>
      </c>
      <c r="B86" s="2">
        <v>85</v>
      </c>
      <c r="C86" s="3" t="s">
        <v>92</v>
      </c>
      <c r="D86" s="8" t="s">
        <v>105</v>
      </c>
      <c r="E86" s="4" t="s">
        <v>108</v>
      </c>
      <c r="F86" s="12">
        <v>54.14</v>
      </c>
      <c r="G86" s="5">
        <v>4.3600000000000003</v>
      </c>
      <c r="H86" s="6">
        <v>413</v>
      </c>
    </row>
    <row r="87" spans="1:8" x14ac:dyDescent="0.25">
      <c r="A87" s="2">
        <v>86</v>
      </c>
      <c r="B87" s="2">
        <v>86</v>
      </c>
      <c r="C87" s="3" t="s">
        <v>93</v>
      </c>
      <c r="D87" s="8" t="s">
        <v>105</v>
      </c>
      <c r="E87" s="4" t="s">
        <v>107</v>
      </c>
      <c r="F87" s="13">
        <v>80.209999999999994</v>
      </c>
      <c r="G87" s="7">
        <v>9.2100000000000009</v>
      </c>
      <c r="H87" s="6">
        <v>575</v>
      </c>
    </row>
    <row r="88" spans="1:8" x14ac:dyDescent="0.25">
      <c r="A88" s="2">
        <v>87</v>
      </c>
      <c r="B88" s="2">
        <v>87</v>
      </c>
      <c r="C88" s="3" t="s">
        <v>94</v>
      </c>
      <c r="D88" s="8" t="s">
        <v>105</v>
      </c>
      <c r="E88" s="4" t="s">
        <v>108</v>
      </c>
      <c r="F88" s="12">
        <v>51.29</v>
      </c>
      <c r="G88" s="5">
        <v>4.3600000000000003</v>
      </c>
      <c r="H88" s="6">
        <v>382</v>
      </c>
    </row>
    <row r="89" spans="1:8" x14ac:dyDescent="0.25">
      <c r="A89" s="2">
        <v>88</v>
      </c>
      <c r="B89" s="2">
        <v>88</v>
      </c>
      <c r="C89" s="3" t="s">
        <v>95</v>
      </c>
      <c r="D89" s="8" t="s">
        <v>105</v>
      </c>
      <c r="E89" s="4" t="s">
        <v>106</v>
      </c>
      <c r="F89" s="13">
        <v>64.430000000000007</v>
      </c>
      <c r="G89" s="7">
        <v>6.64</v>
      </c>
      <c r="H89" s="6">
        <v>459</v>
      </c>
    </row>
    <row r="90" spans="1:8" x14ac:dyDescent="0.25">
      <c r="A90" s="2">
        <v>89</v>
      </c>
      <c r="B90" s="2">
        <v>89</v>
      </c>
      <c r="C90" s="3" t="s">
        <v>96</v>
      </c>
      <c r="D90" s="8" t="s">
        <v>105</v>
      </c>
      <c r="E90" s="4" t="s">
        <v>107</v>
      </c>
      <c r="F90" s="12">
        <v>77.14</v>
      </c>
      <c r="G90" s="5">
        <v>9</v>
      </c>
      <c r="H90" s="6">
        <v>549</v>
      </c>
    </row>
    <row r="91" spans="1:8" x14ac:dyDescent="0.25">
      <c r="A91" s="2">
        <v>90</v>
      </c>
      <c r="B91" s="2">
        <v>90</v>
      </c>
      <c r="C91" s="3" t="s">
        <v>97</v>
      </c>
      <c r="D91" s="8" t="s">
        <v>105</v>
      </c>
      <c r="E91" s="4" t="s">
        <v>107</v>
      </c>
      <c r="F91" s="13">
        <v>72.5</v>
      </c>
      <c r="G91" s="7">
        <v>8.64</v>
      </c>
      <c r="H91" s="6">
        <v>536</v>
      </c>
    </row>
    <row r="92" spans="1:8" x14ac:dyDescent="0.25">
      <c r="A92" s="2">
        <v>91</v>
      </c>
      <c r="B92" s="2">
        <v>91</v>
      </c>
      <c r="C92" s="3" t="s">
        <v>98</v>
      </c>
      <c r="D92" s="8" t="s">
        <v>105</v>
      </c>
      <c r="E92" s="4" t="s">
        <v>106</v>
      </c>
      <c r="F92" s="12">
        <v>61.86</v>
      </c>
      <c r="G92" s="5">
        <v>6.93</v>
      </c>
      <c r="H92" s="6">
        <v>469</v>
      </c>
    </row>
    <row r="93" spans="1:8" x14ac:dyDescent="0.25">
      <c r="A93" s="2">
        <v>92</v>
      </c>
      <c r="B93" s="2">
        <v>92</v>
      </c>
      <c r="C93" s="3" t="s">
        <v>99</v>
      </c>
      <c r="D93" s="8" t="s">
        <v>105</v>
      </c>
      <c r="E93" s="4" t="s">
        <v>108</v>
      </c>
      <c r="F93" s="13">
        <v>55.57</v>
      </c>
      <c r="G93" s="7">
        <v>4.07</v>
      </c>
      <c r="H93" s="6">
        <v>418</v>
      </c>
    </row>
    <row r="94" spans="1:8" x14ac:dyDescent="0.25">
      <c r="A94" s="2">
        <v>93</v>
      </c>
      <c r="B94" s="2">
        <v>93</v>
      </c>
      <c r="C94" s="3" t="s">
        <v>100</v>
      </c>
      <c r="D94" s="8" t="s">
        <v>105</v>
      </c>
      <c r="E94" s="4" t="s">
        <v>107</v>
      </c>
      <c r="F94" s="12">
        <v>64.209999999999994</v>
      </c>
      <c r="G94" s="5">
        <v>7.64</v>
      </c>
      <c r="H94" s="6">
        <v>458</v>
      </c>
    </row>
    <row r="95" spans="1:8" x14ac:dyDescent="0.25">
      <c r="A95" s="2">
        <v>93</v>
      </c>
      <c r="B95" s="2">
        <v>94</v>
      </c>
      <c r="C95" s="3" t="s">
        <v>101</v>
      </c>
      <c r="D95" s="8" t="s">
        <v>105</v>
      </c>
      <c r="E95" s="4" t="s">
        <v>108</v>
      </c>
      <c r="F95" s="13">
        <v>46.07</v>
      </c>
      <c r="G95" s="7">
        <v>3.5</v>
      </c>
      <c r="H95" s="6">
        <v>290</v>
      </c>
    </row>
    <row r="96" spans="1:8" x14ac:dyDescent="0.25">
      <c r="A96" s="2">
        <v>94</v>
      </c>
      <c r="B96" s="2">
        <v>95</v>
      </c>
      <c r="C96" s="3" t="s">
        <v>102</v>
      </c>
      <c r="D96" s="8" t="s">
        <v>105</v>
      </c>
      <c r="E96" s="4" t="s">
        <v>107</v>
      </c>
      <c r="F96" s="12">
        <v>76</v>
      </c>
      <c r="G96" s="5">
        <v>8.7899999999999991</v>
      </c>
      <c r="H96" s="6">
        <v>544</v>
      </c>
    </row>
    <row r="97" spans="1:8" x14ac:dyDescent="0.25">
      <c r="A97" s="2">
        <v>95</v>
      </c>
      <c r="B97" s="2">
        <v>96</v>
      </c>
      <c r="C97" s="3" t="s">
        <v>103</v>
      </c>
      <c r="D97" s="8" t="s">
        <v>105</v>
      </c>
      <c r="E97" s="4" t="s">
        <v>106</v>
      </c>
      <c r="F97" s="13">
        <v>63.5</v>
      </c>
      <c r="G97" s="7">
        <v>6.79</v>
      </c>
      <c r="H97" s="6">
        <v>444</v>
      </c>
    </row>
    <row r="98" spans="1:8" x14ac:dyDescent="0.25">
      <c r="A98" s="2">
        <v>96</v>
      </c>
      <c r="B98" s="2">
        <v>97</v>
      </c>
      <c r="C98" s="3" t="s">
        <v>104</v>
      </c>
      <c r="D98" s="8" t="s">
        <v>105</v>
      </c>
      <c r="E98" s="4" t="s">
        <v>106</v>
      </c>
      <c r="F98" s="12">
        <v>71.42</v>
      </c>
      <c r="G98" s="5">
        <v>8.2100000000000009</v>
      </c>
      <c r="H98" s="6">
        <v>471</v>
      </c>
    </row>
    <row r="99" spans="1:8" x14ac:dyDescent="0.25">
      <c r="A99" s="2">
        <v>1</v>
      </c>
      <c r="B99" s="2">
        <v>98</v>
      </c>
      <c r="C99" s="3" t="s">
        <v>109</v>
      </c>
      <c r="D99" s="8" t="s">
        <v>184</v>
      </c>
      <c r="E99" s="4" t="s">
        <v>106</v>
      </c>
      <c r="F99" s="13">
        <f>Table1[[#This Row],[TOTAL MARKS]]/28</f>
        <v>60.678571428571431</v>
      </c>
      <c r="G99" s="7">
        <v>6.46</v>
      </c>
      <c r="H99" s="6">
        <v>1699</v>
      </c>
    </row>
    <row r="100" spans="1:8" x14ac:dyDescent="0.25">
      <c r="A100" s="2">
        <v>2</v>
      </c>
      <c r="B100" s="2">
        <v>99</v>
      </c>
      <c r="C100" s="3" t="s">
        <v>110</v>
      </c>
      <c r="D100" s="8" t="s">
        <v>184</v>
      </c>
      <c r="E100" s="4" t="s">
        <v>106</v>
      </c>
      <c r="F100" s="12">
        <f>Table1[[#This Row],[TOTAL MARKS]]/28</f>
        <v>64.071428571428569</v>
      </c>
      <c r="G100" s="5">
        <v>7.54</v>
      </c>
      <c r="H100" s="6">
        <v>1794</v>
      </c>
    </row>
    <row r="101" spans="1:8" x14ac:dyDescent="0.25">
      <c r="A101" s="2">
        <v>3</v>
      </c>
      <c r="B101" s="2">
        <v>100</v>
      </c>
      <c r="C101" s="3" t="s">
        <v>111</v>
      </c>
      <c r="D101" s="8" t="s">
        <v>184</v>
      </c>
      <c r="E101" s="4" t="s">
        <v>106</v>
      </c>
      <c r="F101" s="13">
        <f>Table1[[#This Row],[TOTAL MARKS]]/28</f>
        <v>63.142857142857146</v>
      </c>
      <c r="G101" s="7">
        <v>6.75</v>
      </c>
      <c r="H101" s="6">
        <v>1768</v>
      </c>
    </row>
    <row r="102" spans="1:8" x14ac:dyDescent="0.25">
      <c r="A102" s="2">
        <v>4</v>
      </c>
      <c r="B102" s="2">
        <v>101</v>
      </c>
      <c r="C102" s="3" t="s">
        <v>112</v>
      </c>
      <c r="D102" s="8" t="s">
        <v>184</v>
      </c>
      <c r="E102" s="4" t="s">
        <v>107</v>
      </c>
      <c r="F102" s="12">
        <f>Table1[[#This Row],[TOTAL MARKS]]/28</f>
        <v>70.785714285714292</v>
      </c>
      <c r="G102" s="5">
        <v>8.4600000000000009</v>
      </c>
      <c r="H102" s="6">
        <v>1982</v>
      </c>
    </row>
    <row r="103" spans="1:8" x14ac:dyDescent="0.25">
      <c r="A103" s="2">
        <v>5</v>
      </c>
      <c r="B103" s="2">
        <v>102</v>
      </c>
      <c r="C103" s="3" t="s">
        <v>113</v>
      </c>
      <c r="D103" s="8" t="s">
        <v>184</v>
      </c>
      <c r="E103" s="4" t="s">
        <v>106</v>
      </c>
      <c r="F103" s="13">
        <f>Table1[[#This Row],[TOTAL MARKS]]/28</f>
        <v>62.571428571428569</v>
      </c>
      <c r="G103" s="7">
        <v>7.04</v>
      </c>
      <c r="H103" s="6">
        <v>1752</v>
      </c>
    </row>
    <row r="104" spans="1:8" x14ac:dyDescent="0.25">
      <c r="A104" s="2">
        <v>6</v>
      </c>
      <c r="B104" s="2">
        <v>103</v>
      </c>
      <c r="C104" s="3" t="s">
        <v>114</v>
      </c>
      <c r="D104" s="8" t="s">
        <v>184</v>
      </c>
      <c r="E104" s="4" t="s">
        <v>107</v>
      </c>
      <c r="F104" s="12">
        <f>Table1[[#This Row],[TOTAL MARKS]]/28</f>
        <v>80.785714285714292</v>
      </c>
      <c r="G104" s="5">
        <v>9.32</v>
      </c>
      <c r="H104" s="6">
        <v>2262</v>
      </c>
    </row>
    <row r="105" spans="1:8" x14ac:dyDescent="0.25">
      <c r="A105" s="2">
        <v>7</v>
      </c>
      <c r="B105" s="2">
        <v>104</v>
      </c>
      <c r="C105" s="3" t="s">
        <v>115</v>
      </c>
      <c r="D105" s="8" t="s">
        <v>184</v>
      </c>
      <c r="E105" s="4" t="s">
        <v>107</v>
      </c>
      <c r="F105" s="13">
        <f>Table1[[#This Row],[TOTAL MARKS]]/28</f>
        <v>79.928571428571431</v>
      </c>
      <c r="G105" s="7">
        <v>9.14</v>
      </c>
      <c r="H105" s="6">
        <v>2238</v>
      </c>
    </row>
    <row r="106" spans="1:8" x14ac:dyDescent="0.25">
      <c r="A106" s="2">
        <v>8</v>
      </c>
      <c r="B106" s="2">
        <v>105</v>
      </c>
      <c r="C106" s="3" t="s">
        <v>116</v>
      </c>
      <c r="D106" s="8" t="s">
        <v>184</v>
      </c>
      <c r="E106" s="4" t="s">
        <v>107</v>
      </c>
      <c r="F106" s="12">
        <f>Table1[[#This Row],[TOTAL MARKS]]/28</f>
        <v>77.892857142857139</v>
      </c>
      <c r="G106" s="5">
        <v>9.18</v>
      </c>
      <c r="H106" s="6">
        <v>2181</v>
      </c>
    </row>
    <row r="107" spans="1:8" x14ac:dyDescent="0.25">
      <c r="A107" s="2">
        <v>9</v>
      </c>
      <c r="B107" s="2">
        <v>106</v>
      </c>
      <c r="C107" s="3" t="s">
        <v>117</v>
      </c>
      <c r="D107" s="8" t="s">
        <v>184</v>
      </c>
      <c r="E107" s="4" t="s">
        <v>107</v>
      </c>
      <c r="F107" s="13">
        <f>Table1[[#This Row],[TOTAL MARKS]]/28</f>
        <v>77.607142857142861</v>
      </c>
      <c r="G107" s="7">
        <v>9.14</v>
      </c>
      <c r="H107" s="6">
        <v>2173</v>
      </c>
    </row>
    <row r="108" spans="1:8" x14ac:dyDescent="0.25">
      <c r="A108" s="2">
        <v>10</v>
      </c>
      <c r="B108" s="2">
        <v>107</v>
      </c>
      <c r="C108" s="3" t="s">
        <v>118</v>
      </c>
      <c r="D108" s="8" t="s">
        <v>184</v>
      </c>
      <c r="E108" s="4" t="s">
        <v>107</v>
      </c>
      <c r="F108" s="12">
        <f>Table1[[#This Row],[TOTAL MARKS]]/28</f>
        <v>72.714285714285708</v>
      </c>
      <c r="G108" s="5">
        <v>8.7899999999999991</v>
      </c>
      <c r="H108" s="6">
        <v>2036</v>
      </c>
    </row>
    <row r="109" spans="1:8" x14ac:dyDescent="0.25">
      <c r="A109" s="2">
        <v>11</v>
      </c>
      <c r="B109" s="2">
        <v>108</v>
      </c>
      <c r="C109" s="3" t="s">
        <v>119</v>
      </c>
      <c r="D109" s="8" t="s">
        <v>184</v>
      </c>
      <c r="E109" s="4" t="s">
        <v>106</v>
      </c>
      <c r="F109" s="13">
        <f>Table1[[#This Row],[TOTAL MARKS]]/28</f>
        <v>67.285714285714292</v>
      </c>
      <c r="G109" s="7">
        <v>7.14</v>
      </c>
      <c r="H109" s="6">
        <v>1884</v>
      </c>
    </row>
    <row r="110" spans="1:8" x14ac:dyDescent="0.25">
      <c r="A110" s="2">
        <v>12</v>
      </c>
      <c r="B110" s="2">
        <v>109</v>
      </c>
      <c r="C110" s="3" t="s">
        <v>120</v>
      </c>
      <c r="D110" s="8" t="s">
        <v>184</v>
      </c>
      <c r="E110" s="4" t="s">
        <v>106</v>
      </c>
      <c r="F110" s="12">
        <f>Table1[[#This Row],[TOTAL MARKS]]/28</f>
        <v>67.678571428571431</v>
      </c>
      <c r="G110" s="5">
        <v>7.96</v>
      </c>
      <c r="H110" s="6">
        <v>1895</v>
      </c>
    </row>
    <row r="111" spans="1:8" x14ac:dyDescent="0.25">
      <c r="A111" s="2">
        <v>13</v>
      </c>
      <c r="B111" s="2">
        <v>110</v>
      </c>
      <c r="C111" s="3" t="s">
        <v>121</v>
      </c>
      <c r="D111" s="8" t="s">
        <v>184</v>
      </c>
      <c r="E111" s="4" t="s">
        <v>106</v>
      </c>
      <c r="F111" s="13">
        <f>Table1[[#This Row],[TOTAL MARKS]]/28</f>
        <v>64.107142857142861</v>
      </c>
      <c r="G111" s="7">
        <v>6.89</v>
      </c>
      <c r="H111" s="6">
        <v>1795</v>
      </c>
    </row>
    <row r="112" spans="1:8" x14ac:dyDescent="0.25">
      <c r="A112" s="2">
        <v>14</v>
      </c>
      <c r="B112" s="2">
        <v>111</v>
      </c>
      <c r="C112" s="3" t="s">
        <v>122</v>
      </c>
      <c r="D112" s="8" t="s">
        <v>184</v>
      </c>
      <c r="E112" s="4" t="s">
        <v>106</v>
      </c>
      <c r="F112" s="12">
        <f>Table1[[#This Row],[TOTAL MARKS]]/28</f>
        <v>61.678571428571431</v>
      </c>
      <c r="G112" s="5">
        <v>6.5</v>
      </c>
      <c r="H112" s="6">
        <v>1727</v>
      </c>
    </row>
    <row r="113" spans="1:8" x14ac:dyDescent="0.25">
      <c r="A113" s="2">
        <v>15</v>
      </c>
      <c r="B113" s="2">
        <v>112</v>
      </c>
      <c r="C113" s="3" t="s">
        <v>123</v>
      </c>
      <c r="D113" s="8" t="s">
        <v>184</v>
      </c>
      <c r="E113" s="4" t="s">
        <v>106</v>
      </c>
      <c r="F113" s="13">
        <f>Table1[[#This Row],[TOTAL MARKS]]/28</f>
        <v>67.321428571428569</v>
      </c>
      <c r="G113" s="7">
        <v>7.75</v>
      </c>
      <c r="H113" s="6">
        <v>1885</v>
      </c>
    </row>
    <row r="114" spans="1:8" x14ac:dyDescent="0.25">
      <c r="A114" s="2">
        <v>16</v>
      </c>
      <c r="B114" s="2">
        <v>113</v>
      </c>
      <c r="C114" s="3" t="s">
        <v>124</v>
      </c>
      <c r="D114" s="8" t="s">
        <v>184</v>
      </c>
      <c r="E114" s="4" t="s">
        <v>107</v>
      </c>
      <c r="F114" s="12">
        <f>Table1[[#This Row],[TOTAL MARKS]]/28</f>
        <v>78.107142857142861</v>
      </c>
      <c r="G114" s="5">
        <v>9.18</v>
      </c>
      <c r="H114" s="6">
        <v>2187</v>
      </c>
    </row>
    <row r="115" spans="1:8" x14ac:dyDescent="0.25">
      <c r="A115" s="2">
        <v>17</v>
      </c>
      <c r="B115" s="2">
        <v>114</v>
      </c>
      <c r="C115" s="3" t="s">
        <v>125</v>
      </c>
      <c r="D115" s="8" t="s">
        <v>184</v>
      </c>
      <c r="E115" s="4" t="s">
        <v>107</v>
      </c>
      <c r="F115" s="13">
        <f>Table1[[#This Row],[TOTAL MARKS]]/28</f>
        <v>86.285714285714292</v>
      </c>
      <c r="G115" s="7" t="s">
        <v>185</v>
      </c>
      <c r="H115" s="6">
        <v>2416</v>
      </c>
    </row>
    <row r="116" spans="1:8" x14ac:dyDescent="0.25">
      <c r="A116" s="2">
        <v>18</v>
      </c>
      <c r="B116" s="2">
        <v>115</v>
      </c>
      <c r="C116" s="3" t="s">
        <v>126</v>
      </c>
      <c r="D116" s="8" t="s">
        <v>184</v>
      </c>
      <c r="E116" s="4" t="s">
        <v>107</v>
      </c>
      <c r="F116" s="12">
        <f>Table1[[#This Row],[TOTAL MARKS]]/28</f>
        <v>82.535714285714292</v>
      </c>
      <c r="G116" s="5">
        <v>9.32</v>
      </c>
      <c r="H116" s="6">
        <v>2311</v>
      </c>
    </row>
    <row r="117" spans="1:8" x14ac:dyDescent="0.25">
      <c r="A117" s="2">
        <v>19</v>
      </c>
      <c r="B117" s="2">
        <v>116</v>
      </c>
      <c r="C117" s="3" t="s">
        <v>127</v>
      </c>
      <c r="D117" s="8" t="s">
        <v>184</v>
      </c>
      <c r="E117" s="4" t="s">
        <v>107</v>
      </c>
      <c r="F117" s="13">
        <f>Table1[[#This Row],[TOTAL MARKS]]/28</f>
        <v>76.392857142857139</v>
      </c>
      <c r="G117" s="7">
        <v>8.86</v>
      </c>
      <c r="H117" s="6">
        <v>2139</v>
      </c>
    </row>
    <row r="118" spans="1:8" ht="25.5" x14ac:dyDescent="0.25">
      <c r="A118" s="2">
        <v>20</v>
      </c>
      <c r="B118" s="2">
        <v>117</v>
      </c>
      <c r="C118" s="3" t="s">
        <v>128</v>
      </c>
      <c r="D118" s="8" t="s">
        <v>184</v>
      </c>
      <c r="E118" s="4" t="s">
        <v>107</v>
      </c>
      <c r="F118" s="12">
        <f>Table1[[#This Row],[TOTAL MARKS]]/28</f>
        <v>79.285714285714292</v>
      </c>
      <c r="G118" s="5">
        <v>9.2899999999999991</v>
      </c>
      <c r="H118" s="6">
        <v>2220</v>
      </c>
    </row>
    <row r="119" spans="1:8" x14ac:dyDescent="0.25">
      <c r="A119" s="2">
        <v>21</v>
      </c>
      <c r="B119" s="2">
        <v>118</v>
      </c>
      <c r="C119" s="3" t="s">
        <v>129</v>
      </c>
      <c r="D119" s="8" t="s">
        <v>184</v>
      </c>
      <c r="E119" s="4" t="s">
        <v>106</v>
      </c>
      <c r="F119" s="13">
        <f>Table1[[#This Row],[TOTAL MARKS]]/28</f>
        <v>74.964285714285708</v>
      </c>
      <c r="G119" s="7">
        <v>8.82</v>
      </c>
      <c r="H119" s="6">
        <v>2099</v>
      </c>
    </row>
    <row r="120" spans="1:8" x14ac:dyDescent="0.25">
      <c r="A120" s="2">
        <v>22</v>
      </c>
      <c r="B120" s="2">
        <v>119</v>
      </c>
      <c r="C120" s="3" t="s">
        <v>130</v>
      </c>
      <c r="D120" s="8" t="s">
        <v>184</v>
      </c>
      <c r="E120" s="4" t="s">
        <v>107</v>
      </c>
      <c r="F120" s="12">
        <f>Table1[[#This Row],[TOTAL MARKS]]/28</f>
        <v>86.535714285714292</v>
      </c>
      <c r="G120" s="5">
        <v>9.68</v>
      </c>
      <c r="H120" s="6">
        <v>2423</v>
      </c>
    </row>
    <row r="121" spans="1:8" x14ac:dyDescent="0.25">
      <c r="A121" s="2">
        <v>23</v>
      </c>
      <c r="B121" s="2">
        <v>120</v>
      </c>
      <c r="C121" s="3" t="s">
        <v>131</v>
      </c>
      <c r="D121" s="8" t="s">
        <v>184</v>
      </c>
      <c r="E121" s="4" t="s">
        <v>107</v>
      </c>
      <c r="F121" s="13">
        <f>Table1[[#This Row],[TOTAL MARKS]]/28</f>
        <v>78.214285714285708</v>
      </c>
      <c r="G121" s="7">
        <v>9.07</v>
      </c>
      <c r="H121" s="6">
        <v>2190</v>
      </c>
    </row>
    <row r="122" spans="1:8" x14ac:dyDescent="0.25">
      <c r="A122" s="2">
        <v>24</v>
      </c>
      <c r="B122" s="2">
        <v>121</v>
      </c>
      <c r="C122" s="3" t="s">
        <v>132</v>
      </c>
      <c r="D122" s="8" t="s">
        <v>184</v>
      </c>
      <c r="E122" s="4" t="s">
        <v>107</v>
      </c>
      <c r="F122" s="12">
        <f>Table1[[#This Row],[TOTAL MARKS]]/28</f>
        <v>72.964285714285708</v>
      </c>
      <c r="G122" s="5" t="s">
        <v>186</v>
      </c>
      <c r="H122" s="6">
        <v>2043</v>
      </c>
    </row>
    <row r="123" spans="1:8" x14ac:dyDescent="0.25">
      <c r="A123" s="2">
        <v>25</v>
      </c>
      <c r="B123" s="2">
        <v>122</v>
      </c>
      <c r="C123" s="3" t="s">
        <v>133</v>
      </c>
      <c r="D123" s="8" t="s">
        <v>184</v>
      </c>
      <c r="E123" s="4" t="s">
        <v>106</v>
      </c>
      <c r="F123" s="13">
        <f>Table1[[#This Row],[TOTAL MARKS]]/28</f>
        <v>65.928571428571431</v>
      </c>
      <c r="G123" s="7">
        <v>6.96</v>
      </c>
      <c r="H123" s="6">
        <v>1846</v>
      </c>
    </row>
    <row r="124" spans="1:8" x14ac:dyDescent="0.25">
      <c r="A124" s="2">
        <v>26</v>
      </c>
      <c r="B124" s="2">
        <v>123</v>
      </c>
      <c r="C124" s="3" t="s">
        <v>134</v>
      </c>
      <c r="D124" s="8" t="s">
        <v>184</v>
      </c>
      <c r="E124" s="4" t="s">
        <v>107</v>
      </c>
      <c r="F124" s="12">
        <f>Table1[[#This Row],[TOTAL MARKS]]/28</f>
        <v>68.714285714285708</v>
      </c>
      <c r="G124" s="5">
        <v>8.2899999999999991</v>
      </c>
      <c r="H124" s="6">
        <v>1924</v>
      </c>
    </row>
    <row r="125" spans="1:8" x14ac:dyDescent="0.25">
      <c r="A125" s="2">
        <v>27</v>
      </c>
      <c r="B125" s="2">
        <v>124</v>
      </c>
      <c r="C125" s="3" t="s">
        <v>135</v>
      </c>
      <c r="D125" s="8" t="s">
        <v>184</v>
      </c>
      <c r="E125" s="4" t="s">
        <v>107</v>
      </c>
      <c r="F125" s="13">
        <f>Table1[[#This Row],[TOTAL MARKS]]/28</f>
        <v>71.678571428571431</v>
      </c>
      <c r="G125" s="7">
        <v>8.5399999999999991</v>
      </c>
      <c r="H125" s="6">
        <v>2007</v>
      </c>
    </row>
    <row r="126" spans="1:8" x14ac:dyDescent="0.25">
      <c r="A126" s="2">
        <v>28</v>
      </c>
      <c r="B126" s="2">
        <v>125</v>
      </c>
      <c r="C126" s="3" t="s">
        <v>136</v>
      </c>
      <c r="D126" s="8" t="s">
        <v>184</v>
      </c>
      <c r="E126" s="4" t="s">
        <v>106</v>
      </c>
      <c r="F126" s="12">
        <f>Table1[[#This Row],[TOTAL MARKS]]/28</f>
        <v>66.392857142857139</v>
      </c>
      <c r="G126" s="5">
        <v>7.64</v>
      </c>
      <c r="H126" s="6">
        <v>1859</v>
      </c>
    </row>
    <row r="127" spans="1:8" x14ac:dyDescent="0.25">
      <c r="A127" s="2">
        <v>29</v>
      </c>
      <c r="B127" s="2">
        <v>126</v>
      </c>
      <c r="C127" s="3" t="s">
        <v>137</v>
      </c>
      <c r="D127" s="8" t="s">
        <v>184</v>
      </c>
      <c r="E127" s="4" t="s">
        <v>106</v>
      </c>
      <c r="F127" s="13">
        <f>Table1[[#This Row],[TOTAL MARKS]]/28</f>
        <v>63.642857142857146</v>
      </c>
      <c r="G127" s="7">
        <v>6.93</v>
      </c>
      <c r="H127" s="6">
        <v>1782</v>
      </c>
    </row>
    <row r="128" spans="1:8" x14ac:dyDescent="0.25">
      <c r="A128" s="2">
        <v>30</v>
      </c>
      <c r="B128" s="2">
        <v>127</v>
      </c>
      <c r="C128" s="3" t="s">
        <v>138</v>
      </c>
      <c r="D128" s="8" t="s">
        <v>184</v>
      </c>
      <c r="E128" s="4" t="s">
        <v>107</v>
      </c>
      <c r="F128" s="12">
        <f>Table1[[#This Row],[TOTAL MARKS]]/28</f>
        <v>69.607142857142861</v>
      </c>
      <c r="G128" s="5">
        <v>8.39</v>
      </c>
      <c r="H128" s="6">
        <v>1949</v>
      </c>
    </row>
    <row r="129" spans="1:8" x14ac:dyDescent="0.25">
      <c r="A129" s="2">
        <v>31</v>
      </c>
      <c r="B129" s="2">
        <v>128</v>
      </c>
      <c r="C129" s="3" t="s">
        <v>139</v>
      </c>
      <c r="D129" s="8" t="s">
        <v>184</v>
      </c>
      <c r="E129" s="4" t="s">
        <v>106</v>
      </c>
      <c r="F129" s="13">
        <f>Table1[[#This Row],[TOTAL MARKS]]/28</f>
        <v>0.29071428571428576</v>
      </c>
      <c r="G129" s="7">
        <v>8.14</v>
      </c>
      <c r="H129" s="6">
        <v>8.14</v>
      </c>
    </row>
    <row r="130" spans="1:8" x14ac:dyDescent="0.25">
      <c r="A130" s="2">
        <v>32</v>
      </c>
      <c r="B130" s="2">
        <v>129</v>
      </c>
      <c r="C130" s="3" t="s">
        <v>140</v>
      </c>
      <c r="D130" s="8" t="s">
        <v>184</v>
      </c>
      <c r="E130" s="4" t="s">
        <v>107</v>
      </c>
      <c r="F130" s="12">
        <f>Table1[[#This Row],[TOTAL MARKS]]/28</f>
        <v>75.178571428571431</v>
      </c>
      <c r="G130" s="5">
        <v>9</v>
      </c>
      <c r="H130" s="6">
        <v>2105</v>
      </c>
    </row>
    <row r="131" spans="1:8" x14ac:dyDescent="0.25">
      <c r="A131" s="2">
        <v>33</v>
      </c>
      <c r="B131" s="2">
        <v>130</v>
      </c>
      <c r="C131" s="3" t="s">
        <v>141</v>
      </c>
      <c r="D131" s="8" t="s">
        <v>184</v>
      </c>
      <c r="E131" s="4" t="s">
        <v>107</v>
      </c>
      <c r="F131" s="13">
        <f>Table1[[#This Row],[TOTAL MARKS]]/28</f>
        <v>79.285714285714292</v>
      </c>
      <c r="G131" s="7">
        <v>9.25</v>
      </c>
      <c r="H131" s="6">
        <v>2220</v>
      </c>
    </row>
    <row r="132" spans="1:8" x14ac:dyDescent="0.25">
      <c r="A132" s="2">
        <v>34</v>
      </c>
      <c r="B132" s="2">
        <v>131</v>
      </c>
      <c r="C132" s="3" t="s">
        <v>142</v>
      </c>
      <c r="D132" s="8" t="s">
        <v>184</v>
      </c>
      <c r="E132" s="4" t="s">
        <v>106</v>
      </c>
      <c r="F132" s="12">
        <f>Table1[[#This Row],[TOTAL MARKS]]/28</f>
        <v>74.107142857142861</v>
      </c>
      <c r="G132" s="5">
        <v>8.4600000000000009</v>
      </c>
      <c r="H132" s="6">
        <v>2075</v>
      </c>
    </row>
    <row r="133" spans="1:8" x14ac:dyDescent="0.25">
      <c r="A133" s="2">
        <v>35</v>
      </c>
      <c r="B133" s="2">
        <v>132</v>
      </c>
      <c r="C133" s="3" t="s">
        <v>143</v>
      </c>
      <c r="D133" s="8" t="s">
        <v>184</v>
      </c>
      <c r="E133" s="4" t="s">
        <v>107</v>
      </c>
      <c r="F133" s="13">
        <f>Table1[[#This Row],[TOTAL MARKS]]/28</f>
        <v>73.25</v>
      </c>
      <c r="G133" s="7">
        <v>8.89</v>
      </c>
      <c r="H133" s="6">
        <v>2051</v>
      </c>
    </row>
    <row r="134" spans="1:8" x14ac:dyDescent="0.25">
      <c r="A134" s="2">
        <v>36</v>
      </c>
      <c r="B134" s="2">
        <v>133</v>
      </c>
      <c r="C134" s="3" t="s">
        <v>144</v>
      </c>
      <c r="D134" s="8" t="s">
        <v>184</v>
      </c>
      <c r="E134" s="4" t="s">
        <v>106</v>
      </c>
      <c r="F134" s="12">
        <f>Table1[[#This Row],[TOTAL MARKS]]/28</f>
        <v>64.035714285714292</v>
      </c>
      <c r="G134" s="5">
        <v>7.29</v>
      </c>
      <c r="H134" s="6">
        <v>1793</v>
      </c>
    </row>
    <row r="135" spans="1:8" x14ac:dyDescent="0.25">
      <c r="A135" s="2">
        <v>37</v>
      </c>
      <c r="B135" s="2">
        <v>134</v>
      </c>
      <c r="C135" s="3" t="s">
        <v>145</v>
      </c>
      <c r="D135" s="8" t="s">
        <v>184</v>
      </c>
      <c r="E135" s="4" t="s">
        <v>106</v>
      </c>
      <c r="F135" s="13">
        <f>Table1[[#This Row],[TOTAL MARKS]]/28</f>
        <v>61.464285714285715</v>
      </c>
      <c r="G135" s="7">
        <v>6.96</v>
      </c>
      <c r="H135" s="6">
        <v>1721</v>
      </c>
    </row>
    <row r="136" spans="1:8" ht="25.5" x14ac:dyDescent="0.25">
      <c r="A136" s="2">
        <v>38</v>
      </c>
      <c r="B136" s="2">
        <v>135</v>
      </c>
      <c r="C136" s="3" t="s">
        <v>146</v>
      </c>
      <c r="D136" s="8" t="s">
        <v>184</v>
      </c>
      <c r="E136" s="4" t="s">
        <v>106</v>
      </c>
      <c r="F136" s="12">
        <f>Table1[[#This Row],[TOTAL MARKS]]/28</f>
        <v>67.321428571428569</v>
      </c>
      <c r="G136" s="5">
        <v>7.82</v>
      </c>
      <c r="H136" s="6">
        <v>1885</v>
      </c>
    </row>
    <row r="137" spans="1:8" ht="25.5" x14ac:dyDescent="0.25">
      <c r="A137" s="2">
        <v>39</v>
      </c>
      <c r="B137" s="2">
        <v>136</v>
      </c>
      <c r="C137" s="3" t="s">
        <v>147</v>
      </c>
      <c r="D137" s="8" t="s">
        <v>184</v>
      </c>
      <c r="E137" s="4" t="s">
        <v>106</v>
      </c>
      <c r="F137" s="13">
        <f>Table1[[#This Row],[TOTAL MARKS]]/28</f>
        <v>71</v>
      </c>
      <c r="G137" s="7">
        <v>8.5</v>
      </c>
      <c r="H137" s="6">
        <v>1988</v>
      </c>
    </row>
    <row r="138" spans="1:8" x14ac:dyDescent="0.25">
      <c r="A138" s="2">
        <v>40</v>
      </c>
      <c r="B138" s="2">
        <v>137</v>
      </c>
      <c r="C138" s="3" t="s">
        <v>148</v>
      </c>
      <c r="D138" s="8" t="s">
        <v>184</v>
      </c>
      <c r="E138" s="4" t="s">
        <v>106</v>
      </c>
      <c r="F138" s="12">
        <f>Table1[[#This Row],[TOTAL MARKS]]/28</f>
        <v>62.785714285714285</v>
      </c>
      <c r="G138" s="5">
        <v>7</v>
      </c>
      <c r="H138" s="6">
        <v>1758</v>
      </c>
    </row>
    <row r="139" spans="1:8" x14ac:dyDescent="0.25">
      <c r="A139" s="2">
        <v>41</v>
      </c>
      <c r="B139" s="2">
        <v>138</v>
      </c>
      <c r="C139" s="3" t="s">
        <v>149</v>
      </c>
      <c r="D139" s="8" t="s">
        <v>184</v>
      </c>
      <c r="E139" s="4" t="s">
        <v>107</v>
      </c>
      <c r="F139" s="13">
        <f>Table1[[#This Row],[TOTAL MARKS]]/28</f>
        <v>72.392857142857139</v>
      </c>
      <c r="G139" s="7">
        <v>8.5399999999999991</v>
      </c>
      <c r="H139" s="6">
        <v>2027</v>
      </c>
    </row>
    <row r="140" spans="1:8" x14ac:dyDescent="0.25">
      <c r="A140" s="2">
        <v>42</v>
      </c>
      <c r="B140" s="2">
        <v>139</v>
      </c>
      <c r="C140" s="3" t="s">
        <v>150</v>
      </c>
      <c r="D140" s="8" t="s">
        <v>184</v>
      </c>
      <c r="E140" s="4" t="s">
        <v>106</v>
      </c>
      <c r="F140" s="12">
        <f>Table1[[#This Row],[TOTAL MARKS]]/28</f>
        <v>62.785714285714285</v>
      </c>
      <c r="G140" s="5">
        <v>6.68</v>
      </c>
      <c r="H140" s="6">
        <v>1758</v>
      </c>
    </row>
    <row r="141" spans="1:8" x14ac:dyDescent="0.25">
      <c r="A141" s="2">
        <v>43</v>
      </c>
      <c r="B141" s="2">
        <v>140</v>
      </c>
      <c r="C141" s="3" t="s">
        <v>151</v>
      </c>
      <c r="D141" s="8" t="s">
        <v>184</v>
      </c>
      <c r="E141" s="4" t="s">
        <v>107</v>
      </c>
      <c r="F141" s="13">
        <f>Table1[[#This Row],[TOTAL MARKS]]/28</f>
        <v>79.714285714285708</v>
      </c>
      <c r="G141" s="7">
        <v>9.2100000000000009</v>
      </c>
      <c r="H141" s="6">
        <v>2232</v>
      </c>
    </row>
    <row r="142" spans="1:8" x14ac:dyDescent="0.25">
      <c r="A142" s="2">
        <v>44</v>
      </c>
      <c r="B142" s="2">
        <v>141</v>
      </c>
      <c r="C142" s="3" t="s">
        <v>152</v>
      </c>
      <c r="D142" s="8" t="s">
        <v>184</v>
      </c>
      <c r="E142" s="4" t="s">
        <v>106</v>
      </c>
      <c r="F142" s="12">
        <f>Table1[[#This Row],[TOTAL MARKS]]/28</f>
        <v>60.571428571428569</v>
      </c>
      <c r="G142" s="5">
        <v>6.57</v>
      </c>
      <c r="H142" s="6">
        <v>1696</v>
      </c>
    </row>
    <row r="143" spans="1:8" x14ac:dyDescent="0.25">
      <c r="A143" s="2">
        <v>45</v>
      </c>
      <c r="B143" s="2">
        <v>142</v>
      </c>
      <c r="C143" s="3" t="s">
        <v>153</v>
      </c>
      <c r="D143" s="8" t="s">
        <v>184</v>
      </c>
      <c r="E143" s="4" t="s">
        <v>107</v>
      </c>
      <c r="F143" s="13">
        <f>Table1[[#This Row],[TOTAL MARKS]]/28</f>
        <v>71.107142857142861</v>
      </c>
      <c r="G143" s="7">
        <v>8.5</v>
      </c>
      <c r="H143" s="6">
        <v>1991</v>
      </c>
    </row>
    <row r="144" spans="1:8" x14ac:dyDescent="0.25">
      <c r="A144" s="2">
        <v>46</v>
      </c>
      <c r="B144" s="2">
        <v>143</v>
      </c>
      <c r="C144" s="3" t="s">
        <v>154</v>
      </c>
      <c r="D144" s="8" t="s">
        <v>184</v>
      </c>
      <c r="E144" s="4" t="s">
        <v>106</v>
      </c>
      <c r="F144" s="12">
        <f>Table1[[#This Row],[TOTAL MARKS]]/28</f>
        <v>75.607142857142861</v>
      </c>
      <c r="G144" s="5">
        <v>8.93</v>
      </c>
      <c r="H144" s="6">
        <v>2117</v>
      </c>
    </row>
    <row r="145" spans="1:8" x14ac:dyDescent="0.25">
      <c r="A145" s="2">
        <v>47</v>
      </c>
      <c r="B145" s="2">
        <v>144</v>
      </c>
      <c r="C145" s="3" t="s">
        <v>155</v>
      </c>
      <c r="D145" s="8" t="s">
        <v>184</v>
      </c>
      <c r="E145" s="4" t="s">
        <v>106</v>
      </c>
      <c r="F145" s="13">
        <f>Table1[[#This Row],[TOTAL MARKS]]/28</f>
        <v>61.928571428571431</v>
      </c>
      <c r="G145" s="7">
        <v>6.68</v>
      </c>
      <c r="H145" s="6">
        <v>1734</v>
      </c>
    </row>
    <row r="146" spans="1:8" x14ac:dyDescent="0.25">
      <c r="A146" s="2">
        <v>48</v>
      </c>
      <c r="B146" s="2">
        <v>145</v>
      </c>
      <c r="C146" s="3" t="s">
        <v>156</v>
      </c>
      <c r="D146" s="8" t="s">
        <v>184</v>
      </c>
      <c r="E146" s="4" t="s">
        <v>107</v>
      </c>
      <c r="F146" s="12">
        <f>Table1[[#This Row],[TOTAL MARKS]]/28</f>
        <v>63.142857142857146</v>
      </c>
      <c r="G146" s="5">
        <v>7.18</v>
      </c>
      <c r="H146" s="6">
        <v>1768</v>
      </c>
    </row>
    <row r="147" spans="1:8" x14ac:dyDescent="0.25">
      <c r="A147" s="2">
        <v>49</v>
      </c>
      <c r="B147" s="2">
        <v>146</v>
      </c>
      <c r="C147" s="3" t="s">
        <v>157</v>
      </c>
      <c r="D147" s="8" t="s">
        <v>184</v>
      </c>
      <c r="E147" s="4" t="s">
        <v>107</v>
      </c>
      <c r="F147" s="13">
        <f>Table1[[#This Row],[TOTAL MARKS]]/28</f>
        <v>75.214285714285708</v>
      </c>
      <c r="G147" s="7">
        <v>8.9600000000000009</v>
      </c>
      <c r="H147" s="6">
        <v>2106</v>
      </c>
    </row>
    <row r="148" spans="1:8" x14ac:dyDescent="0.25">
      <c r="A148" s="2">
        <v>50</v>
      </c>
      <c r="B148" s="2">
        <v>147</v>
      </c>
      <c r="C148" s="3" t="s">
        <v>158</v>
      </c>
      <c r="D148" s="8" t="s">
        <v>184</v>
      </c>
      <c r="E148" s="4" t="s">
        <v>106</v>
      </c>
      <c r="F148" s="12">
        <f>Table1[[#This Row],[TOTAL MARKS]]/28</f>
        <v>70.785714285714292</v>
      </c>
      <c r="G148" s="5">
        <v>7.96</v>
      </c>
      <c r="H148" s="6">
        <v>1982</v>
      </c>
    </row>
    <row r="149" spans="1:8" x14ac:dyDescent="0.25">
      <c r="A149" s="2">
        <v>51</v>
      </c>
      <c r="B149" s="2">
        <v>148</v>
      </c>
      <c r="C149" s="3" t="s">
        <v>159</v>
      </c>
      <c r="D149" s="8" t="s">
        <v>184</v>
      </c>
      <c r="E149" s="4" t="s">
        <v>108</v>
      </c>
      <c r="F149" s="13">
        <f>Table1[[#This Row],[TOTAL MARKS]]/28</f>
        <v>63.714285714285715</v>
      </c>
      <c r="G149" s="7">
        <v>6.71</v>
      </c>
      <c r="H149" s="6">
        <v>1784</v>
      </c>
    </row>
    <row r="150" spans="1:8" x14ac:dyDescent="0.25">
      <c r="A150" s="2">
        <v>52</v>
      </c>
      <c r="B150" s="2">
        <v>149</v>
      </c>
      <c r="C150" s="3" t="s">
        <v>160</v>
      </c>
      <c r="D150" s="8" t="s">
        <v>184</v>
      </c>
      <c r="E150" s="4" t="s">
        <v>106</v>
      </c>
      <c r="F150" s="12">
        <f>Table1[[#This Row],[TOTAL MARKS]]/28</f>
        <v>66.714285714285708</v>
      </c>
      <c r="G150" s="5">
        <v>7.39</v>
      </c>
      <c r="H150" s="6">
        <v>1868</v>
      </c>
    </row>
    <row r="151" spans="1:8" x14ac:dyDescent="0.25">
      <c r="A151" s="2">
        <v>53</v>
      </c>
      <c r="B151" s="2">
        <v>150</v>
      </c>
      <c r="C151" s="3" t="s">
        <v>161</v>
      </c>
      <c r="D151" s="8" t="s">
        <v>184</v>
      </c>
      <c r="E151" s="4" t="s">
        <v>106</v>
      </c>
      <c r="F151" s="13">
        <f>Table1[[#This Row],[TOTAL MARKS]]/28</f>
        <v>74.107142857142861</v>
      </c>
      <c r="G151" s="7">
        <v>8.64</v>
      </c>
      <c r="H151" s="6">
        <v>2075</v>
      </c>
    </row>
    <row r="152" spans="1:8" x14ac:dyDescent="0.25">
      <c r="A152" s="2">
        <v>54</v>
      </c>
      <c r="B152" s="2">
        <v>151</v>
      </c>
      <c r="C152" s="3" t="s">
        <v>162</v>
      </c>
      <c r="D152" s="8" t="s">
        <v>184</v>
      </c>
      <c r="E152" s="4" t="s">
        <v>107</v>
      </c>
      <c r="F152" s="12">
        <f>Table1[[#This Row],[TOTAL MARKS]]/28</f>
        <v>77</v>
      </c>
      <c r="G152" s="5">
        <v>9.11</v>
      </c>
      <c r="H152" s="6">
        <v>2156</v>
      </c>
    </row>
    <row r="153" spans="1:8" x14ac:dyDescent="0.25">
      <c r="A153" s="2">
        <v>55</v>
      </c>
      <c r="B153" s="2">
        <v>152</v>
      </c>
      <c r="C153" s="3" t="s">
        <v>163</v>
      </c>
      <c r="D153" s="8" t="s">
        <v>184</v>
      </c>
      <c r="E153" s="4" t="s">
        <v>107</v>
      </c>
      <c r="F153" s="13">
        <f>Table1[[#This Row],[TOTAL MARKS]]/28</f>
        <v>89.392857142857139</v>
      </c>
      <c r="G153" s="7">
        <v>9.93</v>
      </c>
      <c r="H153" s="6">
        <v>2503</v>
      </c>
    </row>
    <row r="154" spans="1:8" x14ac:dyDescent="0.25">
      <c r="A154" s="2">
        <v>56</v>
      </c>
      <c r="B154" s="2">
        <v>153</v>
      </c>
      <c r="C154" s="3" t="s">
        <v>164</v>
      </c>
      <c r="D154" s="8" t="s">
        <v>184</v>
      </c>
      <c r="E154" s="4" t="s">
        <v>106</v>
      </c>
      <c r="F154" s="12">
        <f>Table1[[#This Row],[TOTAL MARKS]]/28</f>
        <v>65.785714285714292</v>
      </c>
      <c r="G154" s="5">
        <v>7.39</v>
      </c>
      <c r="H154" s="6">
        <v>1842</v>
      </c>
    </row>
    <row r="155" spans="1:8" x14ac:dyDescent="0.25">
      <c r="A155" s="2">
        <v>57</v>
      </c>
      <c r="B155" s="2">
        <v>154</v>
      </c>
      <c r="C155" s="3" t="s">
        <v>165</v>
      </c>
      <c r="D155" s="8" t="s">
        <v>184</v>
      </c>
      <c r="E155" s="4" t="s">
        <v>106</v>
      </c>
      <c r="F155" s="13">
        <f>Table1[[#This Row],[TOTAL MARKS]]/28</f>
        <v>64.857142857142861</v>
      </c>
      <c r="G155" s="7">
        <v>7.61</v>
      </c>
      <c r="H155" s="6">
        <v>1816</v>
      </c>
    </row>
    <row r="156" spans="1:8" x14ac:dyDescent="0.25">
      <c r="A156" s="2">
        <v>58</v>
      </c>
      <c r="B156" s="2">
        <v>155</v>
      </c>
      <c r="C156" s="3" t="s">
        <v>166</v>
      </c>
      <c r="D156" s="8" t="s">
        <v>184</v>
      </c>
      <c r="E156" s="4" t="s">
        <v>107</v>
      </c>
      <c r="F156" s="12">
        <f>Table1[[#This Row],[TOTAL MARKS]]/28</f>
        <v>68.321428571428569</v>
      </c>
      <c r="G156" s="5">
        <v>8.14</v>
      </c>
      <c r="H156" s="6">
        <v>1913</v>
      </c>
    </row>
    <row r="157" spans="1:8" x14ac:dyDescent="0.25">
      <c r="A157" s="2">
        <v>59</v>
      </c>
      <c r="B157" s="2">
        <v>156</v>
      </c>
      <c r="C157" s="3" t="s">
        <v>167</v>
      </c>
      <c r="D157" s="8" t="s">
        <v>184</v>
      </c>
      <c r="E157" s="4" t="s">
        <v>107</v>
      </c>
      <c r="F157" s="13">
        <f>Table1[[#This Row],[TOTAL MARKS]]/28</f>
        <v>66.964285714285708</v>
      </c>
      <c r="G157" s="7">
        <v>8.0399999999999991</v>
      </c>
      <c r="H157" s="6">
        <v>1875</v>
      </c>
    </row>
    <row r="158" spans="1:8" x14ac:dyDescent="0.25">
      <c r="A158" s="2">
        <v>60</v>
      </c>
      <c r="B158" s="2">
        <v>157</v>
      </c>
      <c r="C158" s="3" t="s">
        <v>168</v>
      </c>
      <c r="D158" s="8" t="s">
        <v>184</v>
      </c>
      <c r="E158" s="4" t="s">
        <v>107</v>
      </c>
      <c r="F158" s="12">
        <f>Table1[[#This Row],[TOTAL MARKS]]/28</f>
        <v>75.607142857142861</v>
      </c>
      <c r="G158" s="5">
        <v>9.0399999999999991</v>
      </c>
      <c r="H158" s="6">
        <v>2117</v>
      </c>
    </row>
    <row r="159" spans="1:8" x14ac:dyDescent="0.25">
      <c r="A159" s="2">
        <v>61</v>
      </c>
      <c r="B159" s="2">
        <v>158</v>
      </c>
      <c r="C159" s="3" t="s">
        <v>169</v>
      </c>
      <c r="D159" s="8" t="s">
        <v>184</v>
      </c>
      <c r="E159" s="4" t="s">
        <v>107</v>
      </c>
      <c r="F159" s="13">
        <f>Table1[[#This Row],[TOTAL MARKS]]/28</f>
        <v>65.857142857142861</v>
      </c>
      <c r="G159" s="7">
        <v>7.75</v>
      </c>
      <c r="H159" s="6">
        <v>1844</v>
      </c>
    </row>
    <row r="160" spans="1:8" x14ac:dyDescent="0.25">
      <c r="A160" s="2">
        <v>62</v>
      </c>
      <c r="B160" s="2">
        <v>159</v>
      </c>
      <c r="C160" s="3" t="s">
        <v>170</v>
      </c>
      <c r="D160" s="8" t="s">
        <v>184</v>
      </c>
      <c r="E160" s="4" t="s">
        <v>107</v>
      </c>
      <c r="F160" s="12">
        <f>Table1[[#This Row],[TOTAL MARKS]]/28</f>
        <v>74.535714285714292</v>
      </c>
      <c r="G160" s="5">
        <v>8.75</v>
      </c>
      <c r="H160" s="6">
        <v>2087</v>
      </c>
    </row>
    <row r="161" spans="1:8" x14ac:dyDescent="0.25">
      <c r="A161" s="2">
        <v>63</v>
      </c>
      <c r="B161" s="2">
        <v>160</v>
      </c>
      <c r="C161" s="3" t="s">
        <v>171</v>
      </c>
      <c r="D161" s="8" t="s">
        <v>184</v>
      </c>
      <c r="E161" s="4" t="s">
        <v>107</v>
      </c>
      <c r="F161" s="13">
        <f>Table1[[#This Row],[TOTAL MARKS]]/28</f>
        <v>77.535714285714292</v>
      </c>
      <c r="G161" s="7">
        <v>9.11</v>
      </c>
      <c r="H161" s="6">
        <v>2171</v>
      </c>
    </row>
    <row r="162" spans="1:8" x14ac:dyDescent="0.25">
      <c r="A162" s="2">
        <v>64</v>
      </c>
      <c r="B162" s="2">
        <v>161</v>
      </c>
      <c r="C162" s="3" t="s">
        <v>172</v>
      </c>
      <c r="D162" s="8" t="s">
        <v>184</v>
      </c>
      <c r="E162" s="4" t="s">
        <v>106</v>
      </c>
      <c r="F162" s="12">
        <f>Table1[[#This Row],[TOTAL MARKS]]/28</f>
        <v>66.678571428571431</v>
      </c>
      <c r="G162" s="5">
        <v>7.64</v>
      </c>
      <c r="H162" s="6">
        <v>1867</v>
      </c>
    </row>
    <row r="163" spans="1:8" x14ac:dyDescent="0.25">
      <c r="A163" s="2">
        <v>65</v>
      </c>
      <c r="B163" s="2">
        <v>162</v>
      </c>
      <c r="C163" s="3" t="s">
        <v>173</v>
      </c>
      <c r="D163" s="8" t="s">
        <v>184</v>
      </c>
      <c r="E163" s="4" t="s">
        <v>107</v>
      </c>
      <c r="F163" s="13">
        <f>Table1[[#This Row],[TOTAL MARKS]]/28</f>
        <v>66.642857142857139</v>
      </c>
      <c r="G163" s="7">
        <v>8</v>
      </c>
      <c r="H163" s="6">
        <v>1866</v>
      </c>
    </row>
    <row r="164" spans="1:8" x14ac:dyDescent="0.25">
      <c r="A164" s="2">
        <v>66</v>
      </c>
      <c r="B164" s="2">
        <v>163</v>
      </c>
      <c r="C164" s="3" t="s">
        <v>174</v>
      </c>
      <c r="D164" s="8" t="s">
        <v>184</v>
      </c>
      <c r="E164" s="4" t="s">
        <v>106</v>
      </c>
      <c r="F164" s="12">
        <f>Table1[[#This Row],[TOTAL MARKS]]/28</f>
        <v>66.464285714285708</v>
      </c>
      <c r="G164" s="5">
        <v>8</v>
      </c>
      <c r="H164" s="6">
        <v>1861</v>
      </c>
    </row>
    <row r="165" spans="1:8" x14ac:dyDescent="0.25">
      <c r="A165" s="2">
        <v>67</v>
      </c>
      <c r="B165" s="2">
        <v>164</v>
      </c>
      <c r="C165" s="3" t="s">
        <v>175</v>
      </c>
      <c r="D165" s="8" t="s">
        <v>184</v>
      </c>
      <c r="E165" s="4" t="s">
        <v>107</v>
      </c>
      <c r="F165" s="13">
        <f>Table1[[#This Row],[TOTAL MARKS]]/28</f>
        <v>76.428571428571431</v>
      </c>
      <c r="G165" s="7">
        <v>8.89</v>
      </c>
      <c r="H165" s="6">
        <v>2140</v>
      </c>
    </row>
    <row r="166" spans="1:8" x14ac:dyDescent="0.25">
      <c r="A166" s="2">
        <v>68</v>
      </c>
      <c r="B166" s="2">
        <v>165</v>
      </c>
      <c r="C166" s="3" t="s">
        <v>176</v>
      </c>
      <c r="D166" s="8" t="s">
        <v>184</v>
      </c>
      <c r="E166" s="4" t="s">
        <v>107</v>
      </c>
      <c r="F166" s="12">
        <f>Table1[[#This Row],[TOTAL MARKS]]/28</f>
        <v>79.321428571428569</v>
      </c>
      <c r="G166" s="5">
        <v>9.18</v>
      </c>
      <c r="H166" s="6">
        <v>2221</v>
      </c>
    </row>
    <row r="167" spans="1:8" x14ac:dyDescent="0.25">
      <c r="A167" s="2">
        <v>69</v>
      </c>
      <c r="B167" s="2">
        <v>166</v>
      </c>
      <c r="C167" s="3" t="s">
        <v>177</v>
      </c>
      <c r="D167" s="8" t="s">
        <v>184</v>
      </c>
      <c r="E167" s="4" t="s">
        <v>107</v>
      </c>
      <c r="F167" s="13">
        <f>Table1[[#This Row],[TOTAL MARKS]]/28</f>
        <v>69.535714285714292</v>
      </c>
      <c r="G167" s="7">
        <v>8.32</v>
      </c>
      <c r="H167" s="6">
        <v>1947</v>
      </c>
    </row>
    <row r="168" spans="1:8" x14ac:dyDescent="0.25">
      <c r="A168" s="2">
        <v>70</v>
      </c>
      <c r="B168" s="2">
        <v>167</v>
      </c>
      <c r="C168" s="3" t="s">
        <v>178</v>
      </c>
      <c r="D168" s="8" t="s">
        <v>184</v>
      </c>
      <c r="E168" s="4" t="s">
        <v>107</v>
      </c>
      <c r="F168" s="12">
        <f>Table1[[#This Row],[TOTAL MARKS]]/28</f>
        <v>75.142857142857139</v>
      </c>
      <c r="G168" s="5">
        <v>9</v>
      </c>
      <c r="H168" s="6">
        <v>2104</v>
      </c>
    </row>
    <row r="169" spans="1:8" x14ac:dyDescent="0.25">
      <c r="A169" s="2">
        <v>71</v>
      </c>
      <c r="B169" s="2">
        <v>168</v>
      </c>
      <c r="C169" s="3" t="s">
        <v>179</v>
      </c>
      <c r="D169" s="8" t="s">
        <v>184</v>
      </c>
      <c r="E169" s="4" t="s">
        <v>106</v>
      </c>
      <c r="F169" s="13">
        <f>Table1[[#This Row],[TOTAL MARKS]]/28</f>
        <v>59.607142857142854</v>
      </c>
      <c r="G169" s="7">
        <v>5.82</v>
      </c>
      <c r="H169" s="6">
        <v>1669</v>
      </c>
    </row>
    <row r="170" spans="1:8" x14ac:dyDescent="0.25">
      <c r="A170" s="2">
        <v>72</v>
      </c>
      <c r="B170" s="2">
        <v>169</v>
      </c>
      <c r="C170" s="3" t="s">
        <v>180</v>
      </c>
      <c r="D170" s="8" t="s">
        <v>184</v>
      </c>
      <c r="E170" s="4" t="s">
        <v>107</v>
      </c>
      <c r="F170" s="12">
        <f>Table1[[#This Row],[TOTAL MARKS]]/28</f>
        <v>72.785714285714292</v>
      </c>
      <c r="G170" s="5">
        <v>8.7100000000000009</v>
      </c>
      <c r="H170" s="6">
        <v>2038</v>
      </c>
    </row>
    <row r="171" spans="1:8" x14ac:dyDescent="0.25">
      <c r="A171" s="2">
        <v>73</v>
      </c>
      <c r="B171" s="2">
        <v>170</v>
      </c>
      <c r="C171" s="3" t="s">
        <v>181</v>
      </c>
      <c r="D171" s="8" t="s">
        <v>184</v>
      </c>
      <c r="E171" s="4" t="s">
        <v>107</v>
      </c>
      <c r="F171" s="13">
        <f>Table1[[#This Row],[TOTAL MARKS]]/28</f>
        <v>68.857142857142861</v>
      </c>
      <c r="G171" s="7">
        <v>8.39</v>
      </c>
      <c r="H171" s="6">
        <v>1928</v>
      </c>
    </row>
    <row r="172" spans="1:8" x14ac:dyDescent="0.25">
      <c r="A172" s="2">
        <v>74</v>
      </c>
      <c r="B172" s="2">
        <v>171</v>
      </c>
      <c r="C172" s="3" t="s">
        <v>182</v>
      </c>
      <c r="D172" s="8" t="s">
        <v>184</v>
      </c>
      <c r="E172" s="4" t="s">
        <v>107</v>
      </c>
      <c r="F172" s="12">
        <f>Table1[[#This Row],[TOTAL MARKS]]/28</f>
        <v>87.678571428571431</v>
      </c>
      <c r="G172" s="5">
        <v>9.7100000000000009</v>
      </c>
      <c r="H172" s="6">
        <v>2455</v>
      </c>
    </row>
    <row r="173" spans="1:8" x14ac:dyDescent="0.25">
      <c r="A173" s="2">
        <v>75</v>
      </c>
      <c r="B173" s="2">
        <v>172</v>
      </c>
      <c r="C173" s="3" t="s">
        <v>183</v>
      </c>
      <c r="D173" s="8" t="s">
        <v>184</v>
      </c>
      <c r="E173" s="4" t="s">
        <v>107</v>
      </c>
      <c r="F173" s="13">
        <f>Table1[[#This Row],[TOTAL MARKS]]/28</f>
        <v>88.821428571428569</v>
      </c>
      <c r="G173" s="7">
        <v>9.75</v>
      </c>
      <c r="H173" s="6">
        <v>2487</v>
      </c>
    </row>
    <row r="174" spans="1:8" x14ac:dyDescent="0.25">
      <c r="A174" s="2">
        <v>1</v>
      </c>
      <c r="B174" s="2">
        <v>173</v>
      </c>
      <c r="C174" s="3" t="s">
        <v>189</v>
      </c>
      <c r="D174" s="8" t="s">
        <v>188</v>
      </c>
      <c r="E174" s="4" t="s">
        <v>207</v>
      </c>
      <c r="F174" s="12">
        <f>Table1[[#This Row],[TOTAL MARKS]]/42</f>
        <v>67</v>
      </c>
      <c r="G174" s="5">
        <v>8.02</v>
      </c>
      <c r="H174" s="6">
        <v>2814</v>
      </c>
    </row>
    <row r="175" spans="1:8" x14ac:dyDescent="0.25">
      <c r="A175" s="2">
        <v>2</v>
      </c>
      <c r="B175" s="2">
        <v>174</v>
      </c>
      <c r="C175" s="3" t="s">
        <v>190</v>
      </c>
      <c r="D175" s="8" t="s">
        <v>188</v>
      </c>
      <c r="E175" s="4" t="s">
        <v>207</v>
      </c>
      <c r="F175" s="13">
        <f>Table1[[#This Row],[TOTAL MARKS]]/42</f>
        <v>79.30952380952381</v>
      </c>
      <c r="G175" s="7">
        <v>9.19</v>
      </c>
      <c r="H175" s="6">
        <v>3331</v>
      </c>
    </row>
    <row r="176" spans="1:8" x14ac:dyDescent="0.25">
      <c r="A176" s="2">
        <v>3</v>
      </c>
      <c r="B176" s="2">
        <v>175</v>
      </c>
      <c r="C176" s="3" t="s">
        <v>191</v>
      </c>
      <c r="D176" s="8" t="s">
        <v>188</v>
      </c>
      <c r="E176" s="4" t="s">
        <v>108</v>
      </c>
      <c r="F176" s="12">
        <f>Table1[[#This Row],[TOTAL MARKS]]/42</f>
        <v>65.857142857142861</v>
      </c>
      <c r="G176" s="5">
        <v>7.4</v>
      </c>
      <c r="H176" s="6">
        <v>2766</v>
      </c>
    </row>
    <row r="177" spans="1:8" x14ac:dyDescent="0.25">
      <c r="A177" s="2">
        <v>4</v>
      </c>
      <c r="B177" s="2">
        <v>176</v>
      </c>
      <c r="C177" s="3" t="s">
        <v>192</v>
      </c>
      <c r="D177" s="8" t="s">
        <v>188</v>
      </c>
      <c r="E177" s="4" t="s">
        <v>207</v>
      </c>
      <c r="F177" s="13">
        <f>Table1[[#This Row],[TOTAL MARKS]]/42</f>
        <v>81.238095238095241</v>
      </c>
      <c r="G177" s="7">
        <v>9.43</v>
      </c>
      <c r="H177" s="6">
        <v>3412</v>
      </c>
    </row>
    <row r="178" spans="1:8" x14ac:dyDescent="0.25">
      <c r="A178" s="2">
        <v>5</v>
      </c>
      <c r="B178" s="2">
        <v>177</v>
      </c>
      <c r="C178" s="3" t="s">
        <v>193</v>
      </c>
      <c r="D178" s="8" t="s">
        <v>188</v>
      </c>
      <c r="E178" s="4" t="s">
        <v>207</v>
      </c>
      <c r="F178" s="12">
        <f>Table1[[#This Row],[TOTAL MARKS]]/42</f>
        <v>76.5</v>
      </c>
      <c r="G178" s="5">
        <v>9.17</v>
      </c>
      <c r="H178" s="6">
        <v>3213</v>
      </c>
    </row>
    <row r="179" spans="1:8" x14ac:dyDescent="0.25">
      <c r="A179" s="2">
        <v>6</v>
      </c>
      <c r="B179" s="2">
        <v>178</v>
      </c>
      <c r="C179" s="3" t="s">
        <v>194</v>
      </c>
      <c r="D179" s="8" t="s">
        <v>188</v>
      </c>
      <c r="E179" s="4" t="s">
        <v>207</v>
      </c>
      <c r="F179" s="13">
        <f>Table1[[#This Row],[TOTAL MARKS]]/42</f>
        <v>79.80952380952381</v>
      </c>
      <c r="G179" s="7">
        <v>9.41</v>
      </c>
      <c r="H179" s="6">
        <v>3352</v>
      </c>
    </row>
    <row r="180" spans="1:8" x14ac:dyDescent="0.25">
      <c r="A180" s="2">
        <v>7</v>
      </c>
      <c r="B180" s="2">
        <v>179</v>
      </c>
      <c r="C180" s="3" t="s">
        <v>195</v>
      </c>
      <c r="D180" s="8" t="s">
        <v>188</v>
      </c>
      <c r="E180" s="4" t="s">
        <v>108</v>
      </c>
      <c r="F180" s="12">
        <f>Table1[[#This Row],[TOTAL MARKS]]/42</f>
        <v>68.476190476190482</v>
      </c>
      <c r="G180" s="5">
        <v>8.0500000000000007</v>
      </c>
      <c r="H180" s="6">
        <v>2876</v>
      </c>
    </row>
    <row r="181" spans="1:8" x14ac:dyDescent="0.25">
      <c r="A181" s="2">
        <v>8</v>
      </c>
      <c r="B181" s="2">
        <v>180</v>
      </c>
      <c r="C181" s="3" t="s">
        <v>196</v>
      </c>
      <c r="D181" s="8" t="s">
        <v>188</v>
      </c>
      <c r="E181" s="4" t="s">
        <v>207</v>
      </c>
      <c r="F181" s="13">
        <f>Table1[[#This Row],[TOTAL MARKS]]/42</f>
        <v>82.738095238095241</v>
      </c>
      <c r="G181" s="7">
        <v>9.33</v>
      </c>
      <c r="H181" s="6">
        <v>3475</v>
      </c>
    </row>
    <row r="182" spans="1:8" ht="25.5" x14ac:dyDescent="0.25">
      <c r="A182" s="2">
        <v>9</v>
      </c>
      <c r="B182" s="2">
        <v>181</v>
      </c>
      <c r="C182" s="3" t="s">
        <v>197</v>
      </c>
      <c r="D182" s="8" t="s">
        <v>188</v>
      </c>
      <c r="E182" s="4" t="s">
        <v>108</v>
      </c>
      <c r="F182" s="12">
        <f>Table1[[#This Row],[TOTAL MARKS]]/42</f>
        <v>74.357142857142861</v>
      </c>
      <c r="G182" s="5">
        <v>8.5500000000000007</v>
      </c>
      <c r="H182" s="6">
        <v>3123</v>
      </c>
    </row>
    <row r="183" spans="1:8" x14ac:dyDescent="0.25">
      <c r="A183" s="2">
        <v>10</v>
      </c>
      <c r="B183" s="2">
        <v>182</v>
      </c>
      <c r="C183" s="3" t="s">
        <v>198</v>
      </c>
      <c r="D183" s="8" t="s">
        <v>188</v>
      </c>
      <c r="E183" s="4" t="s">
        <v>108</v>
      </c>
      <c r="F183" s="13">
        <f>Table1[[#This Row],[TOTAL MARKS]]/42</f>
        <v>54.761904761904759</v>
      </c>
      <c r="G183" s="7">
        <v>6.76</v>
      </c>
      <c r="H183" s="6">
        <v>2300</v>
      </c>
    </row>
    <row r="184" spans="1:8" x14ac:dyDescent="0.25">
      <c r="A184" s="2">
        <v>11</v>
      </c>
      <c r="B184" s="2">
        <v>183</v>
      </c>
      <c r="C184" s="3" t="s">
        <v>199</v>
      </c>
      <c r="D184" s="8" t="s">
        <v>188</v>
      </c>
      <c r="E184" s="4" t="s">
        <v>108</v>
      </c>
      <c r="F184" s="12">
        <f>Table1[[#This Row],[TOTAL MARKS]]/42</f>
        <v>64.285714285714292</v>
      </c>
      <c r="G184" s="5">
        <v>6.56</v>
      </c>
      <c r="H184" s="6">
        <v>2700</v>
      </c>
    </row>
    <row r="185" spans="1:8" x14ac:dyDescent="0.25">
      <c r="A185" s="2">
        <v>12</v>
      </c>
      <c r="B185" s="2">
        <v>184</v>
      </c>
      <c r="C185" s="3" t="s">
        <v>200</v>
      </c>
      <c r="D185" s="8" t="s">
        <v>188</v>
      </c>
      <c r="E185" s="4" t="s">
        <v>207</v>
      </c>
      <c r="F185" s="13">
        <f>Table1[[#This Row],[TOTAL MARKS]]/42</f>
        <v>86.404761904761898</v>
      </c>
      <c r="G185" s="7">
        <v>9.6199999999999992</v>
      </c>
      <c r="H185" s="6">
        <v>3629</v>
      </c>
    </row>
    <row r="186" spans="1:8" x14ac:dyDescent="0.25">
      <c r="A186" s="2">
        <v>13</v>
      </c>
      <c r="B186" s="2">
        <v>185</v>
      </c>
      <c r="C186" s="3" t="s">
        <v>201</v>
      </c>
      <c r="D186" s="8" t="s">
        <v>188</v>
      </c>
      <c r="E186" s="4" t="s">
        <v>207</v>
      </c>
      <c r="F186" s="12">
        <f>Table1[[#This Row],[TOTAL MARKS]]/42</f>
        <v>80.666666666666671</v>
      </c>
      <c r="G186" s="5">
        <v>9.33</v>
      </c>
      <c r="H186" s="6">
        <v>3388</v>
      </c>
    </row>
    <row r="187" spans="1:8" x14ac:dyDescent="0.25">
      <c r="A187" s="2">
        <v>14</v>
      </c>
      <c r="B187" s="2">
        <v>186</v>
      </c>
      <c r="C187" s="3" t="s">
        <v>202</v>
      </c>
      <c r="D187" s="8" t="s">
        <v>188</v>
      </c>
      <c r="E187" s="4" t="s">
        <v>108</v>
      </c>
      <c r="F187" s="13">
        <f>Table1[[#This Row],[TOTAL MARKS]]/42</f>
        <v>72.61904761904762</v>
      </c>
      <c r="G187" s="7">
        <v>8.48</v>
      </c>
      <c r="H187" s="6">
        <v>3050</v>
      </c>
    </row>
    <row r="188" spans="1:8" x14ac:dyDescent="0.25">
      <c r="A188" s="2">
        <v>15</v>
      </c>
      <c r="B188" s="2">
        <v>187</v>
      </c>
      <c r="C188" s="3" t="s">
        <v>203</v>
      </c>
      <c r="D188" s="8" t="s">
        <v>188</v>
      </c>
      <c r="E188" s="4" t="s">
        <v>207</v>
      </c>
      <c r="F188" s="12">
        <f>Table1[[#This Row],[TOTAL MARKS]]/42</f>
        <v>84.738095238095241</v>
      </c>
      <c r="G188" s="5">
        <v>9.48</v>
      </c>
      <c r="H188" s="6">
        <v>3559</v>
      </c>
    </row>
    <row r="189" spans="1:8" x14ac:dyDescent="0.25">
      <c r="A189" s="2">
        <v>16</v>
      </c>
      <c r="B189" s="2">
        <v>188</v>
      </c>
      <c r="C189" s="3" t="s">
        <v>204</v>
      </c>
      <c r="D189" s="8" t="s">
        <v>188</v>
      </c>
      <c r="E189" s="4" t="s">
        <v>207</v>
      </c>
      <c r="F189" s="13">
        <f>Table1[[#This Row],[TOTAL MARKS]]/42</f>
        <v>78.047619047619051</v>
      </c>
      <c r="G189" s="7">
        <v>9.1199999999999992</v>
      </c>
      <c r="H189" s="6">
        <v>3278</v>
      </c>
    </row>
    <row r="190" spans="1:8" x14ac:dyDescent="0.25">
      <c r="A190" s="2">
        <v>17</v>
      </c>
      <c r="B190" s="2">
        <v>189</v>
      </c>
      <c r="C190" s="3" t="s">
        <v>205</v>
      </c>
      <c r="D190" s="8" t="s">
        <v>188</v>
      </c>
      <c r="E190" s="4" t="s">
        <v>207</v>
      </c>
      <c r="F190" s="12">
        <f>Table1[[#This Row],[TOTAL MARKS]]/42</f>
        <v>74.452380952380949</v>
      </c>
      <c r="G190" s="5">
        <v>8.7899999999999991</v>
      </c>
      <c r="H190" s="6">
        <v>3127</v>
      </c>
    </row>
    <row r="191" spans="1:8" x14ac:dyDescent="0.25">
      <c r="A191" s="2">
        <v>18</v>
      </c>
      <c r="B191" s="2">
        <v>190</v>
      </c>
      <c r="C191" s="3" t="s">
        <v>206</v>
      </c>
      <c r="D191" s="8" t="s">
        <v>188</v>
      </c>
      <c r="E191" s="4" t="s">
        <v>108</v>
      </c>
      <c r="F191" s="13">
        <f>Table1[[#This Row],[TOTAL MARKS]]/42</f>
        <v>73.5</v>
      </c>
      <c r="G191" s="7">
        <v>8.5500000000000007</v>
      </c>
      <c r="H191" s="6">
        <v>3087</v>
      </c>
    </row>
    <row r="192" spans="1:8" x14ac:dyDescent="0.25">
      <c r="A192" s="2">
        <v>1</v>
      </c>
      <c r="B192" s="2">
        <v>191</v>
      </c>
      <c r="C192" s="3" t="s">
        <v>208</v>
      </c>
      <c r="D192" s="8" t="s">
        <v>1</v>
      </c>
      <c r="E192" s="4" t="s">
        <v>213</v>
      </c>
      <c r="F192" s="12">
        <f>Table1[[#This Row],[TOTAL MARKS]]/42</f>
        <v>75.642857142857139</v>
      </c>
      <c r="G192" s="5">
        <v>8.75</v>
      </c>
      <c r="H192" s="6">
        <v>3177</v>
      </c>
    </row>
    <row r="193" spans="1:8" x14ac:dyDescent="0.25">
      <c r="A193" s="2">
        <v>2</v>
      </c>
      <c r="B193" s="2">
        <v>192</v>
      </c>
      <c r="C193" s="3" t="s">
        <v>209</v>
      </c>
      <c r="D193" s="8" t="s">
        <v>1</v>
      </c>
      <c r="E193" s="4" t="s">
        <v>107</v>
      </c>
      <c r="F193" s="13">
        <f>Table1[[#This Row],[TOTAL MARKS]]/42</f>
        <v>76.952380952380949</v>
      </c>
      <c r="G193" s="7">
        <v>8.85</v>
      </c>
      <c r="H193" s="6">
        <v>3232</v>
      </c>
    </row>
    <row r="194" spans="1:8" x14ac:dyDescent="0.25">
      <c r="A194" s="2">
        <v>3</v>
      </c>
      <c r="B194" s="2">
        <v>193</v>
      </c>
      <c r="C194" s="3" t="s">
        <v>210</v>
      </c>
      <c r="D194" s="8" t="s">
        <v>1</v>
      </c>
      <c r="E194" s="4" t="s">
        <v>108</v>
      </c>
      <c r="F194" s="12">
        <f>Table1[[#This Row],[TOTAL MARKS]]/42</f>
        <v>71.452380952380949</v>
      </c>
      <c r="G194" s="5">
        <v>8.2100000000000009</v>
      </c>
      <c r="H194" s="6">
        <v>3001</v>
      </c>
    </row>
    <row r="195" spans="1:8" x14ac:dyDescent="0.25">
      <c r="A195" s="2">
        <v>4</v>
      </c>
      <c r="B195" s="2">
        <v>194</v>
      </c>
      <c r="C195" s="3" t="s">
        <v>211</v>
      </c>
      <c r="D195" s="8" t="s">
        <v>1</v>
      </c>
      <c r="E195" s="4" t="s">
        <v>107</v>
      </c>
      <c r="F195" s="13">
        <f>Table1[[#This Row],[TOTAL MARKS]]/42</f>
        <v>74.523809523809518</v>
      </c>
      <c r="G195" s="7">
        <v>8.56</v>
      </c>
      <c r="H195" s="6">
        <v>3130</v>
      </c>
    </row>
    <row r="196" spans="1:8" x14ac:dyDescent="0.25">
      <c r="A196" s="2">
        <v>5</v>
      </c>
      <c r="B196" s="2">
        <v>195</v>
      </c>
      <c r="C196" s="3" t="s">
        <v>212</v>
      </c>
      <c r="D196" s="8" t="s">
        <v>1</v>
      </c>
      <c r="E196" s="4" t="s">
        <v>107</v>
      </c>
      <c r="F196" s="12">
        <f>Table1[[#This Row],[TOTAL MARKS]]/42</f>
        <v>71.428571428571431</v>
      </c>
      <c r="G196" s="5">
        <v>8.31</v>
      </c>
      <c r="H196" s="6">
        <v>3000</v>
      </c>
    </row>
    <row r="197" spans="1:8" x14ac:dyDescent="0.25">
      <c r="A197" s="2">
        <v>1</v>
      </c>
      <c r="B197" s="2">
        <v>196</v>
      </c>
      <c r="C197" s="3" t="s">
        <v>214</v>
      </c>
      <c r="D197" s="8" t="s">
        <v>2</v>
      </c>
      <c r="E197" s="4" t="s">
        <v>107</v>
      </c>
      <c r="F197" s="13">
        <f>Table1[[#This Row],[TOTAL MARKS]]/28</f>
        <v>74.714285714285708</v>
      </c>
      <c r="G197" s="7">
        <v>8.75</v>
      </c>
      <c r="H197" s="6">
        <v>2092</v>
      </c>
    </row>
    <row r="198" spans="1:8" x14ac:dyDescent="0.25">
      <c r="A198" s="2">
        <v>2</v>
      </c>
      <c r="B198" s="2">
        <v>197</v>
      </c>
      <c r="C198" s="3" t="s">
        <v>215</v>
      </c>
      <c r="D198" s="8" t="s">
        <v>2</v>
      </c>
      <c r="E198" s="4" t="s">
        <v>108</v>
      </c>
      <c r="F198" s="12">
        <f>Table1[[#This Row],[TOTAL MARKS]]/28</f>
        <v>71.75</v>
      </c>
      <c r="G198" s="5">
        <v>8.2899999999999991</v>
      </c>
      <c r="H198" s="6">
        <v>2009</v>
      </c>
    </row>
    <row r="199" spans="1:8" x14ac:dyDescent="0.25">
      <c r="A199" s="2">
        <v>3</v>
      </c>
      <c r="B199" s="2">
        <v>198</v>
      </c>
      <c r="C199" s="3" t="s">
        <v>216</v>
      </c>
      <c r="D199" s="8" t="s">
        <v>2</v>
      </c>
      <c r="E199" s="4" t="s">
        <v>107</v>
      </c>
      <c r="F199" s="13">
        <f>Table1[[#This Row],[TOTAL MARKS]]/28</f>
        <v>72.785714285714292</v>
      </c>
      <c r="G199" s="7">
        <v>8.7100000000000009</v>
      </c>
      <c r="H199" s="6">
        <v>2038</v>
      </c>
    </row>
    <row r="200" spans="1:8" x14ac:dyDescent="0.25">
      <c r="A200" s="2">
        <v>4</v>
      </c>
      <c r="B200" s="2">
        <v>199</v>
      </c>
      <c r="C200" s="3" t="s">
        <v>217</v>
      </c>
      <c r="D200" s="8" t="s">
        <v>2</v>
      </c>
      <c r="E200" s="4" t="s">
        <v>107</v>
      </c>
      <c r="F200" s="12">
        <f>Table1[[#This Row],[TOTAL MARKS]]/28</f>
        <v>80.821428571428569</v>
      </c>
      <c r="G200" s="5">
        <v>9.2899999999999991</v>
      </c>
      <c r="H200" s="6">
        <v>2263</v>
      </c>
    </row>
    <row r="201" spans="1:8" x14ac:dyDescent="0.25">
      <c r="A201" s="2">
        <v>5</v>
      </c>
      <c r="B201" s="2">
        <v>200</v>
      </c>
      <c r="C201" s="3" t="s">
        <v>218</v>
      </c>
      <c r="D201" s="8" t="s">
        <v>2</v>
      </c>
      <c r="E201" s="4" t="s">
        <v>108</v>
      </c>
      <c r="F201" s="13">
        <f>Table1[[#This Row],[TOTAL MARKS]]/28</f>
        <v>62.928571428571431</v>
      </c>
      <c r="G201" s="7">
        <v>6.96</v>
      </c>
      <c r="H201" s="6">
        <v>1762</v>
      </c>
    </row>
    <row r="202" spans="1:8" x14ac:dyDescent="0.25">
      <c r="A202" s="2">
        <v>6</v>
      </c>
      <c r="B202" s="2">
        <v>201</v>
      </c>
      <c r="C202" s="3" t="s">
        <v>219</v>
      </c>
      <c r="D202" s="8" t="s">
        <v>2</v>
      </c>
      <c r="E202" s="4" t="s">
        <v>108</v>
      </c>
      <c r="F202" s="12">
        <f>Table1[[#This Row],[TOTAL MARKS]]/28</f>
        <v>54.035714285714285</v>
      </c>
      <c r="G202" s="5">
        <v>4.68</v>
      </c>
      <c r="H202" s="6">
        <v>1513</v>
      </c>
    </row>
    <row r="203" spans="1:8" x14ac:dyDescent="0.25">
      <c r="A203" s="2">
        <v>7</v>
      </c>
      <c r="B203" s="2">
        <v>202</v>
      </c>
      <c r="C203" s="3" t="s">
        <v>220</v>
      </c>
      <c r="D203" s="8" t="s">
        <v>2</v>
      </c>
      <c r="E203" s="4" t="s">
        <v>108</v>
      </c>
      <c r="F203" s="13">
        <f>Table1[[#This Row],[TOTAL MARKS]]/28</f>
        <v>66.571428571428569</v>
      </c>
      <c r="G203" s="7">
        <v>7.68</v>
      </c>
      <c r="H203" s="6">
        <v>1864</v>
      </c>
    </row>
    <row r="204" spans="1:8" x14ac:dyDescent="0.25">
      <c r="A204" s="2">
        <v>8</v>
      </c>
      <c r="B204" s="2">
        <v>203</v>
      </c>
      <c r="C204" s="3" t="s">
        <v>221</v>
      </c>
      <c r="D204" s="8" t="s">
        <v>2</v>
      </c>
      <c r="E204" s="4" t="s">
        <v>107</v>
      </c>
      <c r="F204" s="12">
        <f>Table1[[#This Row],[TOTAL MARKS]]/28</f>
        <v>71.071428571428569</v>
      </c>
      <c r="G204" s="5">
        <v>8.61</v>
      </c>
      <c r="H204" s="6">
        <v>1990</v>
      </c>
    </row>
    <row r="205" spans="1:8" x14ac:dyDescent="0.25">
      <c r="A205" s="2">
        <v>9</v>
      </c>
      <c r="B205" s="2">
        <v>204</v>
      </c>
      <c r="C205" s="3" t="s">
        <v>222</v>
      </c>
      <c r="D205" s="8" t="s">
        <v>2</v>
      </c>
      <c r="E205" s="4" t="s">
        <v>108</v>
      </c>
      <c r="F205" s="13">
        <f>Table1[[#This Row],[TOTAL MARKS]]/28</f>
        <v>62.821428571428569</v>
      </c>
      <c r="G205" s="7">
        <v>6.64</v>
      </c>
      <c r="H205" s="6">
        <v>1759</v>
      </c>
    </row>
    <row r="206" spans="1:8" x14ac:dyDescent="0.25">
      <c r="A206" s="2">
        <v>10</v>
      </c>
      <c r="B206" s="2">
        <v>205</v>
      </c>
      <c r="C206" s="3" t="s">
        <v>223</v>
      </c>
      <c r="D206" s="8" t="s">
        <v>2</v>
      </c>
      <c r="E206" s="4" t="s">
        <v>107</v>
      </c>
      <c r="F206" s="12">
        <f>Table1[[#This Row],[TOTAL MARKS]]/28</f>
        <v>81.714285714285708</v>
      </c>
      <c r="G206" s="5">
        <v>9.43</v>
      </c>
      <c r="H206" s="6">
        <v>2288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2024-12-30T14:27:03Z</dcterms:created>
  <dcterms:modified xsi:type="dcterms:W3CDTF">2024-12-30T15:10:47Z</dcterms:modified>
</cp:coreProperties>
</file>