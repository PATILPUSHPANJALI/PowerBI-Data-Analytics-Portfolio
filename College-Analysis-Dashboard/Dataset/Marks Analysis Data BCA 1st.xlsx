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490" windowHeight="7545"/>
  </bookViews>
  <sheets>
    <sheet name="Sheet1" sheetId="1" r:id="rId1"/>
    <sheet name="Sheet2" sheetId="2" r:id="rId2"/>
  </sheets>
  <definedNames>
    <definedName name="_xlnm._FilterDatabase" localSheetId="0" hidden="1">Sheet1!$A$1:$E$97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3" i="1" l="1"/>
  <c r="D102" i="1" l="1"/>
  <c r="D101" i="1"/>
  <c r="D100" i="1"/>
  <c r="D103" i="1" l="1"/>
</calcChain>
</file>

<file path=xl/sharedStrings.xml><?xml version="1.0" encoding="utf-8"?>
<sst xmlns="http://schemas.openxmlformats.org/spreadsheetml/2006/main" count="209" uniqueCount="109">
  <si>
    <t>ANSARI AYAAN ATIQURREHMAN</t>
  </si>
  <si>
    <t>BABAR ARPITA ANIL</t>
  </si>
  <si>
    <t>BADGUJAR HEMANT SUNIL</t>
  </si>
  <si>
    <t>BADGUJAR TUSHAR SANTOSH</t>
  </si>
  <si>
    <t>BAGBAN MD AWAIS MD MAHEMOOD</t>
  </si>
  <si>
    <t>BHADANE KUNAL HIMMAT</t>
  </si>
  <si>
    <t>BHADANE SUMIT GAUTAM</t>
  </si>
  <si>
    <t>BORASE SEJAL BHARAT</t>
  </si>
  <si>
    <t>BORSE MAHESHWARI PANDIT</t>
  </si>
  <si>
    <t>BUTE GAURAV MANOJ</t>
  </si>
  <si>
    <t>CHAUDHARI BHUPENDRA MOHAN</t>
  </si>
  <si>
    <t>CHAUDHARI SARVESH ASHOK</t>
  </si>
  <si>
    <t>CHAUHAN TANMAYEE GANESHSINGH</t>
  </si>
  <si>
    <t>CHIKANE CHAITALI RAMESH</t>
  </si>
  <si>
    <t>DABHADE KOMAL KASHINATH</t>
  </si>
  <si>
    <t>DESALE PRASHANT BHARAT</t>
  </si>
  <si>
    <t>DESLE SHIVANI RAMKRUSHNA</t>
  </si>
  <si>
    <t>GADHE PRITESH SHIVAJI</t>
  </si>
  <si>
    <t>GAVALE PRASAD VIJAY</t>
  </si>
  <si>
    <t>GAWALI ATHARVA ANIL</t>
  </si>
  <si>
    <t>GIRASE TEJASWINI DAGESING</t>
  </si>
  <si>
    <t>HEMBADE AISHWARYA VIJAY</t>
  </si>
  <si>
    <t>JADHAV ROSHANI DILIP</t>
  </si>
  <si>
    <t>JADHAV SAINATH PRAVIN</t>
  </si>
  <si>
    <t>JAGTAP DARSHAN JITENDRA</t>
  </si>
  <si>
    <t>JAGTAP PANKAJ BHATU</t>
  </si>
  <si>
    <t>JAMADAR LAJESHWARI NARENDRA</t>
  </si>
  <si>
    <t>JAMADAR TEJASVINI GAJENDRASING</t>
  </si>
  <si>
    <t>JIRE OM BHASKAR</t>
  </si>
  <si>
    <t>KADHARE ROHIT BHIMRAO</t>
  </si>
  <si>
    <t>KALE BHAVESH DINESH</t>
  </si>
  <si>
    <t>KANETKAR ANUJA DEVDATTA</t>
  </si>
  <si>
    <t>KHALANE BHALCHANDRA MURLIDHAR</t>
  </si>
  <si>
    <t>KOLI DURGESH DIPAK</t>
  </si>
  <si>
    <t>KONLADE PRATIKSHA SANJAY</t>
  </si>
  <si>
    <t>KOTWAL LOKESH RAJENDRA</t>
  </si>
  <si>
    <t>KUMBHAR SEJAL SANTOSH</t>
  </si>
  <si>
    <t>MAHAJAN MRUNALI SATISH</t>
  </si>
  <si>
    <t>MAHAJAN PRANAV VIJAY</t>
  </si>
  <si>
    <t>MALI HEMANT DNYANESHWAR</t>
  </si>
  <si>
    <t>MALI JAGRUTI SUNIL</t>
  </si>
  <si>
    <t>MALI RUPESH AABA</t>
  </si>
  <si>
    <t>MALI VISHAL KASHINATH</t>
  </si>
  <si>
    <t>MALI YASHODIP PRAVIN</t>
  </si>
  <si>
    <t>MALI YATISH HANUMANT</t>
  </si>
  <si>
    <t>MARATHE ROHIT SUKHDEV</t>
  </si>
  <si>
    <t>MARATHE VIVEK DEEPAK</t>
  </si>
  <si>
    <t>MISTARI VAIBHAV MACHCHHINDRA</t>
  </si>
  <si>
    <t>MULEY HERAMB SANJAY</t>
  </si>
  <si>
    <t>NAGARE OM SANJAY</t>
  </si>
  <si>
    <t>NIKUMBH SNEHA AJAY</t>
  </si>
  <si>
    <t>PAGARE DURGADAS SANJAY</t>
  </si>
  <si>
    <t>PATIL BHAVESH PANDURANG</t>
  </si>
  <si>
    <t>PATIL CHETAN SUNILBHAI</t>
  </si>
  <si>
    <t>PATIL CHIRAG PRADIP</t>
  </si>
  <si>
    <t>PATIL GHANSHYAM MACHINDRA</t>
  </si>
  <si>
    <t>PATIL GOPAL KISHOR</t>
  </si>
  <si>
    <t>PATIL HRISHIKESH MAGAN</t>
  </si>
  <si>
    <t>PATIL JANAVI KISHOR</t>
  </si>
  <si>
    <t>PATIL JAYESH SURESH</t>
  </si>
  <si>
    <t>PATIL KUNAL GANESH</t>
  </si>
  <si>
    <t>PATIL KUNAL PRAKASH</t>
  </si>
  <si>
    <t>PATIL KUNAL VIJAY</t>
  </si>
  <si>
    <t>PATIL MAYUR MANOHAR</t>
  </si>
  <si>
    <t>PATIL MAYURI PANDHARINATH</t>
  </si>
  <si>
    <t>PATIL PRAVIN PRAMOD</t>
  </si>
  <si>
    <t>PATIL PUSHPARAJ VITTHAL</t>
  </si>
  <si>
    <t>PATIL RINKU DNYANESHWAR</t>
  </si>
  <si>
    <t>PATIL RITU RAKESH</t>
  </si>
  <si>
    <t>PATIL SANDIP KISHOR</t>
  </si>
  <si>
    <t>PATIL SHRUTI NARENDRA</t>
  </si>
  <si>
    <t>PATIL SIDDHARTH DIPAK</t>
  </si>
  <si>
    <t>PATIL SUDNIKA SANJAY</t>
  </si>
  <si>
    <t>PATIL TEJAS DNYANESHWAR</t>
  </si>
  <si>
    <t>PATIL YASH CHUDAMAN</t>
  </si>
  <si>
    <t>PATIL YASH SHANKAR</t>
  </si>
  <si>
    <t>RAJPUT SHUBHAM DEEPAK</t>
  </si>
  <si>
    <t>ROKADE KALPESH RAMKRISHNA</t>
  </si>
  <si>
    <t>SAIYYAD ANAS SAIYYAD SHABBIR</t>
  </si>
  <si>
    <t>SANER VAISHNAVI DAGADU</t>
  </si>
  <si>
    <t>SAYYAD TAUSEEF AKBAR</t>
  </si>
  <si>
    <t>SHAH ARMISH YUNUS</t>
  </si>
  <si>
    <t>SHAIKH REHAN RAAJ MOHAMMAD</t>
  </si>
  <si>
    <t>SHEVALE DIGAMBAR KANHAIYA</t>
  </si>
  <si>
    <t>SHINDE ABHISHEK RAVINDRA</t>
  </si>
  <si>
    <t>SHIRODE SHREYA NARENDRA</t>
  </si>
  <si>
    <t>SONAR YASH PARESH</t>
  </si>
  <si>
    <t>SONAWANE SAURABH NANDKISHOR</t>
  </si>
  <si>
    <t>SONJE TANVI SANDEEP</t>
  </si>
  <si>
    <t>SOYE PRASHIKA ANKUSH</t>
  </si>
  <si>
    <t>TRIVEDI HRISHIKESH ULLHAS</t>
  </si>
  <si>
    <t>VETAL JAGRUTI NANDU</t>
  </si>
  <si>
    <t>WAGH HITESH PRAVIN</t>
  </si>
  <si>
    <t>WAGH MADHURI SANJAY</t>
  </si>
  <si>
    <t>WAGH SANDESH PRAMOD</t>
  </si>
  <si>
    <t>WANI BHUSHAN SHANTARAM</t>
  </si>
  <si>
    <t>Sr No</t>
  </si>
  <si>
    <t>Name of Student</t>
  </si>
  <si>
    <t>CGPA</t>
  </si>
  <si>
    <t>Total</t>
  </si>
  <si>
    <t>Result</t>
  </si>
  <si>
    <t>Pass</t>
  </si>
  <si>
    <t>ATKT</t>
  </si>
  <si>
    <t>Fail</t>
  </si>
  <si>
    <t>PASS</t>
  </si>
  <si>
    <t>FAIL</t>
  </si>
  <si>
    <t>MALI SANDIP MOHAN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</si>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</sst>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left style="thin">
          <color indexed="64"/>
        </lef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98" totalsRowShown="0" headerRowDxfId="11" dataDxfId="9" totalsRowDxfId="7" headerRowBorderDxfId="10" tableBorderDxfId="8" totalsRowBorderDxfId="6">
  <autoFilter ref="A1:F98"/>
  <sortState ref="A2:F99">
    <sortCondition ref="A1:A99"/>
  </sortState>
  <tableColumns count="6">
    <tableColumn id="1" name="Sr No" dataDxfId="5"/>
    <tableColumn id="2" name="Name of Student" dataDxfId="4"/>
    <tableColumn id="5" name="Total" dataDxfId="3"/>
    <tableColumn id="6" name="Result" dataDxfId="2"/>
    <tableColumn id="7" name="Percentage" dataDxfId="1"/>
    <tableColumn id="8" name="CGP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topLeftCell="A76" workbookViewId="0">
      <selection activeCell="D2" sqref="D2:D98"/>
    </sheetView>
  </sheetViews>
  <sheetFormatPr defaultRowHeight="15" x14ac:dyDescent="0.25"/>
  <cols>
    <col min="1" max="1" width="12" style="7" bestFit="1" customWidth="1"/>
    <col min="2" max="2" width="33.42578125" style="7" customWidth="1"/>
    <col min="3" max="3" width="11.28515625" style="7" bestFit="1" customWidth="1"/>
    <col min="4" max="4" width="12.85546875" style="7" bestFit="1" customWidth="1"/>
    <col min="5" max="5" width="18.42578125" style="6" bestFit="1" customWidth="1"/>
    <col min="6" max="6" width="12.42578125" style="3" bestFit="1" customWidth="1"/>
    <col min="7" max="16384" width="9.140625" style="7"/>
  </cols>
  <sheetData>
    <row r="1" spans="1:9" ht="15.75" x14ac:dyDescent="0.25">
      <c r="A1" s="4" t="s">
        <v>96</v>
      </c>
      <c r="B1" s="5" t="s">
        <v>97</v>
      </c>
      <c r="C1" s="4" t="s">
        <v>99</v>
      </c>
      <c r="D1" s="4" t="s">
        <v>100</v>
      </c>
      <c r="E1" s="4" t="s">
        <v>108</v>
      </c>
      <c r="F1" s="4" t="s">
        <v>98</v>
      </c>
    </row>
    <row r="2" spans="1:9" x14ac:dyDescent="0.25">
      <c r="A2" s="8">
        <v>1</v>
      </c>
      <c r="B2" s="9" t="s">
        <v>0</v>
      </c>
      <c r="C2" s="10">
        <v>866</v>
      </c>
      <c r="D2" s="11" t="s">
        <v>102</v>
      </c>
      <c r="E2" s="12">
        <v>61.86</v>
      </c>
      <c r="F2" s="12">
        <v>6.43</v>
      </c>
    </row>
    <row r="3" spans="1:9" x14ac:dyDescent="0.25">
      <c r="A3" s="8">
        <v>2</v>
      </c>
      <c r="B3" s="9" t="s">
        <v>1</v>
      </c>
      <c r="C3" s="10">
        <v>1091</v>
      </c>
      <c r="D3" s="11" t="s">
        <v>104</v>
      </c>
      <c r="E3" s="13">
        <v>77.930000000000007</v>
      </c>
      <c r="F3" s="13">
        <v>9.07</v>
      </c>
    </row>
    <row r="4" spans="1:9" ht="17.25" customHeight="1" x14ac:dyDescent="0.25">
      <c r="A4" s="8">
        <v>3</v>
      </c>
      <c r="B4" s="9" t="s">
        <v>2</v>
      </c>
      <c r="C4" s="11">
        <v>891</v>
      </c>
      <c r="D4" s="11" t="s">
        <v>102</v>
      </c>
      <c r="E4" s="12">
        <v>63.64</v>
      </c>
      <c r="F4" s="12">
        <v>5.86</v>
      </c>
    </row>
    <row r="5" spans="1:9" x14ac:dyDescent="0.25">
      <c r="A5" s="8">
        <v>4</v>
      </c>
      <c r="B5" s="9" t="s">
        <v>3</v>
      </c>
      <c r="C5" s="11">
        <v>1080</v>
      </c>
      <c r="D5" s="11" t="s">
        <v>104</v>
      </c>
      <c r="E5" s="12">
        <v>77.14</v>
      </c>
      <c r="F5" s="12">
        <v>9</v>
      </c>
    </row>
    <row r="6" spans="1:9" x14ac:dyDescent="0.25">
      <c r="A6" s="8">
        <v>5</v>
      </c>
      <c r="B6" s="9" t="s">
        <v>4</v>
      </c>
      <c r="C6" s="11">
        <v>683</v>
      </c>
      <c r="D6" s="11" t="s">
        <v>105</v>
      </c>
      <c r="E6" s="12">
        <v>48.79</v>
      </c>
      <c r="F6" s="12">
        <v>3.64</v>
      </c>
    </row>
    <row r="7" spans="1:9" x14ac:dyDescent="0.25">
      <c r="A7" s="8">
        <v>6</v>
      </c>
      <c r="B7" s="9" t="s">
        <v>5</v>
      </c>
      <c r="C7" s="11">
        <v>1924</v>
      </c>
      <c r="D7" s="11" t="s">
        <v>102</v>
      </c>
      <c r="E7" s="12">
        <v>66</v>
      </c>
      <c r="F7" s="12">
        <v>6.71</v>
      </c>
    </row>
    <row r="8" spans="1:9" x14ac:dyDescent="0.25">
      <c r="A8" s="8">
        <v>7</v>
      </c>
      <c r="B8" s="9" t="s">
        <v>6</v>
      </c>
      <c r="C8" s="11">
        <v>912</v>
      </c>
      <c r="D8" s="11" t="s">
        <v>102</v>
      </c>
      <c r="E8" s="12">
        <v>65.14</v>
      </c>
      <c r="F8" s="12">
        <v>6.86</v>
      </c>
    </row>
    <row r="9" spans="1:9" x14ac:dyDescent="0.25">
      <c r="A9" s="8">
        <v>8</v>
      </c>
      <c r="B9" s="9" t="s">
        <v>7</v>
      </c>
      <c r="C9" s="11">
        <v>885</v>
      </c>
      <c r="D9" s="11" t="s">
        <v>102</v>
      </c>
      <c r="E9" s="12">
        <v>63.21</v>
      </c>
      <c r="F9" s="12">
        <v>6.21</v>
      </c>
    </row>
    <row r="10" spans="1:9" x14ac:dyDescent="0.25">
      <c r="A10" s="8">
        <v>9</v>
      </c>
      <c r="B10" s="9" t="s">
        <v>8</v>
      </c>
      <c r="C10" s="11">
        <v>975</v>
      </c>
      <c r="D10" s="11" t="s">
        <v>104</v>
      </c>
      <c r="E10" s="12">
        <v>69.64</v>
      </c>
      <c r="F10" s="12">
        <v>8.5</v>
      </c>
    </row>
    <row r="11" spans="1:9" x14ac:dyDescent="0.25">
      <c r="A11" s="8">
        <v>10</v>
      </c>
      <c r="B11" s="9" t="s">
        <v>9</v>
      </c>
      <c r="C11" s="11">
        <v>924</v>
      </c>
      <c r="D11" s="11" t="s">
        <v>102</v>
      </c>
      <c r="E11" s="12">
        <v>66</v>
      </c>
      <c r="F11" s="12">
        <v>7.21</v>
      </c>
    </row>
    <row r="12" spans="1:9" s="6" customFormat="1" x14ac:dyDescent="0.25">
      <c r="A12" s="14">
        <v>11</v>
      </c>
      <c r="B12" s="15" t="s">
        <v>10</v>
      </c>
      <c r="C12" s="16">
        <v>834</v>
      </c>
      <c r="D12" s="16" t="s">
        <v>102</v>
      </c>
      <c r="E12" s="12">
        <v>59.57</v>
      </c>
      <c r="F12" s="12">
        <v>5.21</v>
      </c>
      <c r="I12" s="7"/>
    </row>
    <row r="13" spans="1:9" x14ac:dyDescent="0.25">
      <c r="A13" s="8">
        <v>12</v>
      </c>
      <c r="B13" s="9" t="s">
        <v>11</v>
      </c>
      <c r="C13" s="11">
        <v>926</v>
      </c>
      <c r="D13" s="11" t="s">
        <v>104</v>
      </c>
      <c r="E13" s="12">
        <v>66.14</v>
      </c>
      <c r="F13" s="12">
        <v>7.93</v>
      </c>
    </row>
    <row r="14" spans="1:9" x14ac:dyDescent="0.25">
      <c r="A14" s="8">
        <v>13</v>
      </c>
      <c r="B14" s="9" t="s">
        <v>12</v>
      </c>
      <c r="C14" s="11">
        <v>1156</v>
      </c>
      <c r="D14" s="11" t="s">
        <v>104</v>
      </c>
      <c r="E14" s="12">
        <v>82.57</v>
      </c>
      <c r="F14" s="12">
        <v>9.36</v>
      </c>
    </row>
    <row r="15" spans="1:9" x14ac:dyDescent="0.25">
      <c r="A15" s="8">
        <v>14</v>
      </c>
      <c r="B15" s="9" t="s">
        <v>13</v>
      </c>
      <c r="C15" s="11">
        <v>998</v>
      </c>
      <c r="D15" s="11" t="s">
        <v>104</v>
      </c>
      <c r="E15" s="12">
        <v>71.290000000000006</v>
      </c>
      <c r="F15" s="12">
        <v>8.5</v>
      </c>
    </row>
    <row r="16" spans="1:9" x14ac:dyDescent="0.25">
      <c r="A16" s="8">
        <v>15</v>
      </c>
      <c r="B16" s="9" t="s">
        <v>14</v>
      </c>
      <c r="C16" s="11">
        <v>957</v>
      </c>
      <c r="D16" s="11" t="s">
        <v>104</v>
      </c>
      <c r="E16" s="12">
        <v>68.36</v>
      </c>
      <c r="F16" s="12">
        <v>8.2100000000000009</v>
      </c>
    </row>
    <row r="17" spans="1:6" x14ac:dyDescent="0.25">
      <c r="A17" s="8">
        <v>16</v>
      </c>
      <c r="B17" s="9" t="s">
        <v>15</v>
      </c>
      <c r="C17" s="11">
        <v>909</v>
      </c>
      <c r="D17" s="11" t="s">
        <v>104</v>
      </c>
      <c r="E17" s="12">
        <v>64.930000000000007</v>
      </c>
      <c r="F17" s="12">
        <v>7.79</v>
      </c>
    </row>
    <row r="18" spans="1:6" x14ac:dyDescent="0.25">
      <c r="A18" s="8">
        <v>17</v>
      </c>
      <c r="B18" s="9" t="s">
        <v>16</v>
      </c>
      <c r="C18" s="11">
        <v>1036</v>
      </c>
      <c r="D18" s="11" t="s">
        <v>104</v>
      </c>
      <c r="E18" s="12">
        <v>74</v>
      </c>
      <c r="F18" s="12">
        <v>8.86</v>
      </c>
    </row>
    <row r="19" spans="1:6" x14ac:dyDescent="0.25">
      <c r="A19" s="8">
        <v>18</v>
      </c>
      <c r="B19" s="9" t="s">
        <v>17</v>
      </c>
      <c r="C19" s="11">
        <v>801</v>
      </c>
      <c r="D19" s="11" t="s">
        <v>102</v>
      </c>
      <c r="E19" s="12">
        <v>57.21</v>
      </c>
      <c r="F19" s="12">
        <v>5.36</v>
      </c>
    </row>
    <row r="20" spans="1:6" x14ac:dyDescent="0.25">
      <c r="A20" s="8">
        <v>19</v>
      </c>
      <c r="B20" s="9" t="s">
        <v>18</v>
      </c>
      <c r="C20" s="11">
        <v>1047</v>
      </c>
      <c r="D20" s="11" t="s">
        <v>104</v>
      </c>
      <c r="E20" s="12">
        <v>74.790000000000006</v>
      </c>
      <c r="F20" s="12">
        <v>8.7100000000000009</v>
      </c>
    </row>
    <row r="21" spans="1:6" x14ac:dyDescent="0.25">
      <c r="A21" s="8">
        <v>20</v>
      </c>
      <c r="B21" s="9" t="s">
        <v>19</v>
      </c>
      <c r="C21" s="11">
        <v>844</v>
      </c>
      <c r="D21" s="11" t="s">
        <v>102</v>
      </c>
      <c r="E21" s="12">
        <v>60.29</v>
      </c>
      <c r="F21" s="12">
        <v>5.86</v>
      </c>
    </row>
    <row r="22" spans="1:6" x14ac:dyDescent="0.25">
      <c r="A22" s="8">
        <v>21</v>
      </c>
      <c r="B22" s="9" t="s">
        <v>20</v>
      </c>
      <c r="C22" s="11">
        <v>918</v>
      </c>
      <c r="D22" s="11" t="s">
        <v>102</v>
      </c>
      <c r="E22" s="12">
        <v>65.569999999999993</v>
      </c>
      <c r="F22" s="12">
        <v>7.07</v>
      </c>
    </row>
    <row r="23" spans="1:6" x14ac:dyDescent="0.25">
      <c r="A23" s="8">
        <v>22</v>
      </c>
      <c r="B23" s="9" t="s">
        <v>21</v>
      </c>
      <c r="C23" s="10">
        <v>924</v>
      </c>
      <c r="D23" s="11" t="s">
        <v>102</v>
      </c>
      <c r="E23" s="12">
        <v>66</v>
      </c>
      <c r="F23" s="12">
        <v>7.43</v>
      </c>
    </row>
    <row r="24" spans="1:6" x14ac:dyDescent="0.25">
      <c r="A24" s="8">
        <v>23</v>
      </c>
      <c r="B24" s="9" t="s">
        <v>22</v>
      </c>
      <c r="C24" s="10">
        <v>1132</v>
      </c>
      <c r="D24" s="11" t="s">
        <v>104</v>
      </c>
      <c r="E24" s="12">
        <v>80.86</v>
      </c>
      <c r="F24" s="12">
        <v>9.2899999999999991</v>
      </c>
    </row>
    <row r="25" spans="1:6" x14ac:dyDescent="0.25">
      <c r="A25" s="8">
        <v>24</v>
      </c>
      <c r="B25" s="9" t="s">
        <v>23</v>
      </c>
      <c r="C25" s="11">
        <v>935</v>
      </c>
      <c r="D25" s="11" t="s">
        <v>104</v>
      </c>
      <c r="E25" s="12">
        <v>66.790000000000006</v>
      </c>
      <c r="F25" s="12">
        <v>7.93</v>
      </c>
    </row>
    <row r="26" spans="1:6" x14ac:dyDescent="0.25">
      <c r="A26" s="8">
        <v>25</v>
      </c>
      <c r="B26" s="9" t="s">
        <v>24</v>
      </c>
      <c r="C26" s="11">
        <v>1108</v>
      </c>
      <c r="D26" s="11" t="s">
        <v>104</v>
      </c>
      <c r="E26" s="12">
        <v>79.14</v>
      </c>
      <c r="F26" s="12">
        <v>9.2899999999999991</v>
      </c>
    </row>
    <row r="27" spans="1:6" x14ac:dyDescent="0.25">
      <c r="A27" s="8">
        <v>26</v>
      </c>
      <c r="B27" s="9" t="s">
        <v>25</v>
      </c>
      <c r="C27" s="11">
        <v>843</v>
      </c>
      <c r="D27" s="11" t="s">
        <v>102</v>
      </c>
      <c r="E27" s="12">
        <v>60.21</v>
      </c>
      <c r="F27" s="12">
        <v>6.5</v>
      </c>
    </row>
    <row r="28" spans="1:6" x14ac:dyDescent="0.25">
      <c r="A28" s="8">
        <v>27</v>
      </c>
      <c r="B28" s="9" t="s">
        <v>26</v>
      </c>
      <c r="C28" s="11">
        <v>1179</v>
      </c>
      <c r="D28" s="11" t="s">
        <v>104</v>
      </c>
      <c r="E28" s="12">
        <v>84.21</v>
      </c>
      <c r="F28" s="12">
        <v>9.57</v>
      </c>
    </row>
    <row r="29" spans="1:6" x14ac:dyDescent="0.25">
      <c r="A29" s="8">
        <v>28</v>
      </c>
      <c r="B29" s="9" t="s">
        <v>27</v>
      </c>
      <c r="C29" s="11">
        <v>1180</v>
      </c>
      <c r="D29" s="11" t="s">
        <v>104</v>
      </c>
      <c r="E29" s="12">
        <v>84.29</v>
      </c>
      <c r="F29" s="12">
        <v>9.43</v>
      </c>
    </row>
    <row r="30" spans="1:6" x14ac:dyDescent="0.25">
      <c r="A30" s="8">
        <v>29</v>
      </c>
      <c r="B30" s="9" t="s">
        <v>28</v>
      </c>
      <c r="C30" s="11">
        <v>882</v>
      </c>
      <c r="D30" s="11" t="s">
        <v>102</v>
      </c>
      <c r="E30" s="12">
        <v>63</v>
      </c>
      <c r="F30" s="12">
        <v>6.36</v>
      </c>
    </row>
    <row r="31" spans="1:6" x14ac:dyDescent="0.25">
      <c r="A31" s="8">
        <v>30</v>
      </c>
      <c r="B31" s="9" t="s">
        <v>29</v>
      </c>
      <c r="C31" s="11">
        <v>934</v>
      </c>
      <c r="D31" s="11" t="s">
        <v>104</v>
      </c>
      <c r="E31" s="12">
        <v>66.709999999999994</v>
      </c>
      <c r="F31" s="12">
        <v>7.86</v>
      </c>
    </row>
    <row r="32" spans="1:6" x14ac:dyDescent="0.25">
      <c r="A32" s="8">
        <v>31</v>
      </c>
      <c r="B32" s="9" t="s">
        <v>30</v>
      </c>
      <c r="C32" s="11">
        <v>876</v>
      </c>
      <c r="D32" s="11" t="s">
        <v>102</v>
      </c>
      <c r="E32" s="12">
        <v>62.57</v>
      </c>
      <c r="F32" s="12">
        <v>6.36</v>
      </c>
    </row>
    <row r="33" spans="1:9" x14ac:dyDescent="0.25">
      <c r="A33" s="8">
        <v>32</v>
      </c>
      <c r="B33" s="9" t="s">
        <v>31</v>
      </c>
      <c r="C33" s="11">
        <v>1120</v>
      </c>
      <c r="D33" s="11" t="s">
        <v>104</v>
      </c>
      <c r="E33" s="12">
        <v>80</v>
      </c>
      <c r="F33" s="12">
        <v>9.43</v>
      </c>
    </row>
    <row r="34" spans="1:9" x14ac:dyDescent="0.25">
      <c r="A34" s="8">
        <v>33</v>
      </c>
      <c r="B34" s="9" t="s">
        <v>32</v>
      </c>
      <c r="C34" s="11">
        <v>852</v>
      </c>
      <c r="D34" s="11" t="s">
        <v>102</v>
      </c>
      <c r="E34" s="12">
        <v>60.86</v>
      </c>
      <c r="F34" s="12">
        <v>6.36</v>
      </c>
    </row>
    <row r="35" spans="1:9" x14ac:dyDescent="0.25">
      <c r="A35" s="8">
        <v>34</v>
      </c>
      <c r="B35" s="9" t="s">
        <v>33</v>
      </c>
      <c r="C35" s="11">
        <v>132</v>
      </c>
      <c r="D35" s="11" t="s">
        <v>105</v>
      </c>
      <c r="E35" s="12">
        <v>34.14</v>
      </c>
      <c r="F35" s="12">
        <v>1.87</v>
      </c>
    </row>
    <row r="36" spans="1:9" x14ac:dyDescent="0.25">
      <c r="A36" s="8">
        <v>35</v>
      </c>
      <c r="B36" s="9" t="s">
        <v>34</v>
      </c>
      <c r="C36" s="10">
        <v>543</v>
      </c>
      <c r="D36" s="11" t="s">
        <v>104</v>
      </c>
      <c r="E36" s="12">
        <v>74.569999999999993</v>
      </c>
      <c r="F36" s="12">
        <v>8.7100000000000009</v>
      </c>
    </row>
    <row r="37" spans="1:9" s="6" customFormat="1" x14ac:dyDescent="0.25">
      <c r="A37" s="14">
        <v>36</v>
      </c>
      <c r="B37" s="15" t="s">
        <v>35</v>
      </c>
      <c r="C37" s="16">
        <v>804</v>
      </c>
      <c r="D37" s="16" t="s">
        <v>102</v>
      </c>
      <c r="E37" s="12">
        <v>57.43</v>
      </c>
      <c r="F37" s="12">
        <v>5.64</v>
      </c>
      <c r="I37" s="7"/>
    </row>
    <row r="38" spans="1:9" x14ac:dyDescent="0.25">
      <c r="A38" s="8">
        <v>37</v>
      </c>
      <c r="B38" s="9" t="s">
        <v>36</v>
      </c>
      <c r="C38" s="10">
        <v>560</v>
      </c>
      <c r="D38" s="11" t="s">
        <v>104</v>
      </c>
      <c r="E38" s="12">
        <v>77.86</v>
      </c>
      <c r="F38" s="12">
        <v>9</v>
      </c>
    </row>
    <row r="39" spans="1:9" x14ac:dyDescent="0.25">
      <c r="A39" s="8">
        <v>38</v>
      </c>
      <c r="B39" s="9" t="s">
        <v>37</v>
      </c>
      <c r="C39" s="10">
        <v>594</v>
      </c>
      <c r="D39" s="11" t="s">
        <v>104</v>
      </c>
      <c r="E39" s="12">
        <v>82.79</v>
      </c>
      <c r="F39" s="12">
        <v>9.36</v>
      </c>
    </row>
    <row r="40" spans="1:9" x14ac:dyDescent="0.25">
      <c r="A40" s="8">
        <v>39</v>
      </c>
      <c r="B40" s="9" t="s">
        <v>38</v>
      </c>
      <c r="C40" s="11">
        <v>490</v>
      </c>
      <c r="D40" s="11" t="s">
        <v>104</v>
      </c>
      <c r="E40" s="12">
        <v>69.14</v>
      </c>
      <c r="F40" s="12">
        <v>8.43</v>
      </c>
    </row>
    <row r="41" spans="1:9" x14ac:dyDescent="0.25">
      <c r="A41" s="8">
        <v>40</v>
      </c>
      <c r="B41" s="9" t="s">
        <v>39</v>
      </c>
      <c r="C41" s="11">
        <v>475</v>
      </c>
      <c r="D41" s="11" t="s">
        <v>104</v>
      </c>
      <c r="E41" s="12">
        <v>64.930000000000007</v>
      </c>
      <c r="F41" s="12">
        <v>7.79</v>
      </c>
    </row>
    <row r="42" spans="1:9" x14ac:dyDescent="0.25">
      <c r="A42" s="8">
        <v>41</v>
      </c>
      <c r="B42" s="9" t="s">
        <v>40</v>
      </c>
      <c r="C42" s="11">
        <v>460</v>
      </c>
      <c r="D42" s="11" t="s">
        <v>102</v>
      </c>
      <c r="E42" s="12">
        <v>65.290000000000006</v>
      </c>
      <c r="F42" s="12">
        <v>7.07</v>
      </c>
    </row>
    <row r="43" spans="1:9" s="6" customFormat="1" x14ac:dyDescent="0.25">
      <c r="A43" s="14">
        <v>42</v>
      </c>
      <c r="B43" s="15" t="s">
        <v>41</v>
      </c>
      <c r="C43" s="16">
        <v>462</v>
      </c>
      <c r="D43" s="11" t="s">
        <v>104</v>
      </c>
      <c r="E43" s="12">
        <v>65.069999999999993</v>
      </c>
      <c r="F43" s="12">
        <v>7.86</v>
      </c>
      <c r="I43" s="7"/>
    </row>
    <row r="44" spans="1:9" x14ac:dyDescent="0.25">
      <c r="A44" s="8">
        <v>43</v>
      </c>
      <c r="B44" s="9" t="s">
        <v>42</v>
      </c>
      <c r="C44" s="11">
        <v>478</v>
      </c>
      <c r="D44" s="11" t="s">
        <v>102</v>
      </c>
      <c r="E44" s="12">
        <v>67.430000000000007</v>
      </c>
      <c r="F44" s="12">
        <v>7.86</v>
      </c>
    </row>
    <row r="45" spans="1:9" x14ac:dyDescent="0.25">
      <c r="A45" s="8">
        <v>44</v>
      </c>
      <c r="B45" s="9" t="s">
        <v>43</v>
      </c>
      <c r="C45" s="11">
        <v>545</v>
      </c>
      <c r="D45" s="11" t="s">
        <v>104</v>
      </c>
      <c r="E45" s="12">
        <v>76.290000000000006</v>
      </c>
      <c r="F45" s="12">
        <v>8.93</v>
      </c>
    </row>
    <row r="46" spans="1:9" x14ac:dyDescent="0.25">
      <c r="A46" s="8">
        <v>45</v>
      </c>
      <c r="B46" s="9" t="s">
        <v>44</v>
      </c>
      <c r="C46" s="11">
        <v>467</v>
      </c>
      <c r="D46" s="11" t="s">
        <v>102</v>
      </c>
      <c r="E46" s="12">
        <v>69.430000000000007</v>
      </c>
      <c r="F46" s="12">
        <v>7.93</v>
      </c>
    </row>
    <row r="47" spans="1:9" x14ac:dyDescent="0.25">
      <c r="A47" s="8">
        <v>46</v>
      </c>
      <c r="B47" s="9" t="s">
        <v>45</v>
      </c>
      <c r="C47" s="11">
        <v>490</v>
      </c>
      <c r="D47" s="11" t="s">
        <v>104</v>
      </c>
      <c r="E47" s="12">
        <v>67.14</v>
      </c>
      <c r="F47" s="12">
        <v>8.07</v>
      </c>
    </row>
    <row r="48" spans="1:9" x14ac:dyDescent="0.25">
      <c r="A48" s="8">
        <v>47</v>
      </c>
      <c r="B48" s="9" t="s">
        <v>46</v>
      </c>
      <c r="C48" s="11">
        <v>478</v>
      </c>
      <c r="D48" s="11" t="s">
        <v>102</v>
      </c>
      <c r="E48" s="12">
        <v>68.069999999999993</v>
      </c>
      <c r="F48" s="12">
        <v>7.79</v>
      </c>
    </row>
    <row r="49" spans="1:6" x14ac:dyDescent="0.25">
      <c r="A49" s="8">
        <v>48</v>
      </c>
      <c r="B49" s="9" t="s">
        <v>47</v>
      </c>
      <c r="C49" s="11">
        <v>422</v>
      </c>
      <c r="D49" s="11" t="s">
        <v>102</v>
      </c>
      <c r="E49" s="12">
        <v>60.57</v>
      </c>
      <c r="F49" s="12">
        <v>6.79</v>
      </c>
    </row>
    <row r="50" spans="1:6" x14ac:dyDescent="0.25">
      <c r="A50" s="8">
        <v>49</v>
      </c>
      <c r="B50" s="9" t="s">
        <v>48</v>
      </c>
      <c r="C50" s="11">
        <v>449</v>
      </c>
      <c r="D50" s="11" t="s">
        <v>102</v>
      </c>
      <c r="E50" s="12">
        <v>66</v>
      </c>
      <c r="F50" s="12">
        <v>7.57</v>
      </c>
    </row>
    <row r="51" spans="1:6" x14ac:dyDescent="0.25">
      <c r="A51" s="8">
        <v>50</v>
      </c>
      <c r="B51" s="9" t="s">
        <v>49</v>
      </c>
      <c r="C51" s="11">
        <v>434</v>
      </c>
      <c r="D51" s="11" t="s">
        <v>102</v>
      </c>
      <c r="E51" s="12">
        <v>63.7</v>
      </c>
      <c r="F51" s="12">
        <v>6.79</v>
      </c>
    </row>
    <row r="52" spans="1:6" x14ac:dyDescent="0.25">
      <c r="A52" s="8">
        <v>51</v>
      </c>
      <c r="B52" s="9" t="s">
        <v>50</v>
      </c>
      <c r="C52" s="11">
        <v>596</v>
      </c>
      <c r="D52" s="11" t="s">
        <v>104</v>
      </c>
      <c r="E52" s="12">
        <v>85.86</v>
      </c>
      <c r="F52" s="12">
        <v>9.7100000000000009</v>
      </c>
    </row>
    <row r="53" spans="1:6" x14ac:dyDescent="0.25">
      <c r="A53" s="8">
        <v>52</v>
      </c>
      <c r="B53" s="9" t="s">
        <v>51</v>
      </c>
      <c r="C53" s="11">
        <v>428</v>
      </c>
      <c r="D53" s="11" t="s">
        <v>102</v>
      </c>
      <c r="E53" s="12">
        <v>59.86</v>
      </c>
      <c r="F53" s="12">
        <v>5.79</v>
      </c>
    </row>
    <row r="54" spans="1:6" x14ac:dyDescent="0.25">
      <c r="A54" s="8">
        <v>53</v>
      </c>
      <c r="B54" s="9" t="s">
        <v>52</v>
      </c>
      <c r="C54" s="11">
        <v>475</v>
      </c>
      <c r="D54" s="11" t="s">
        <v>102</v>
      </c>
      <c r="E54" s="12">
        <v>66.64</v>
      </c>
      <c r="F54" s="12">
        <v>7.64</v>
      </c>
    </row>
    <row r="55" spans="1:6" x14ac:dyDescent="0.25">
      <c r="A55" s="8">
        <v>54</v>
      </c>
      <c r="B55" s="9" t="s">
        <v>53</v>
      </c>
      <c r="C55" s="11">
        <v>768</v>
      </c>
      <c r="D55" s="11" t="s">
        <v>105</v>
      </c>
      <c r="E55" s="12">
        <v>54.86</v>
      </c>
      <c r="F55" s="12">
        <v>4.1399999999999997</v>
      </c>
    </row>
    <row r="56" spans="1:6" x14ac:dyDescent="0.25">
      <c r="A56" s="8">
        <v>55</v>
      </c>
      <c r="B56" s="9" t="s">
        <v>54</v>
      </c>
      <c r="C56" s="11">
        <v>480</v>
      </c>
      <c r="D56" s="11" t="s">
        <v>102</v>
      </c>
      <c r="E56" s="12">
        <v>65.36</v>
      </c>
      <c r="F56" s="12">
        <v>6.79</v>
      </c>
    </row>
    <row r="57" spans="1:6" x14ac:dyDescent="0.25">
      <c r="A57" s="8">
        <v>56</v>
      </c>
      <c r="B57" s="9" t="s">
        <v>55</v>
      </c>
      <c r="C57" s="11">
        <v>1217</v>
      </c>
      <c r="D57" s="11" t="s">
        <v>104</v>
      </c>
      <c r="E57" s="12">
        <v>86.93</v>
      </c>
      <c r="F57" s="12">
        <v>9.7100000000000009</v>
      </c>
    </row>
    <row r="58" spans="1:6" x14ac:dyDescent="0.25">
      <c r="A58" s="8">
        <v>57</v>
      </c>
      <c r="B58" s="9" t="s">
        <v>56</v>
      </c>
      <c r="C58" s="11">
        <v>424</v>
      </c>
      <c r="D58" s="11" t="s">
        <v>105</v>
      </c>
      <c r="E58" s="12">
        <v>58.79</v>
      </c>
      <c r="F58" s="12">
        <v>4.8600000000000003</v>
      </c>
    </row>
    <row r="59" spans="1:6" x14ac:dyDescent="0.25">
      <c r="A59" s="8">
        <v>58</v>
      </c>
      <c r="B59" s="9" t="s">
        <v>57</v>
      </c>
      <c r="C59" s="11">
        <v>531</v>
      </c>
      <c r="D59" s="11" t="s">
        <v>104</v>
      </c>
      <c r="E59" s="12">
        <v>73.709999999999994</v>
      </c>
      <c r="F59" s="12">
        <v>8.7899999999999991</v>
      </c>
    </row>
    <row r="60" spans="1:6" x14ac:dyDescent="0.25">
      <c r="A60" s="8">
        <v>59</v>
      </c>
      <c r="B60" s="9" t="s">
        <v>58</v>
      </c>
      <c r="C60" s="11">
        <v>504</v>
      </c>
      <c r="D60" s="11" t="s">
        <v>102</v>
      </c>
      <c r="E60" s="12">
        <v>71.790000000000006</v>
      </c>
      <c r="F60" s="12">
        <v>8.07</v>
      </c>
    </row>
    <row r="61" spans="1:6" x14ac:dyDescent="0.25">
      <c r="A61" s="8">
        <v>60</v>
      </c>
      <c r="B61" s="9" t="s">
        <v>59</v>
      </c>
      <c r="C61" s="11">
        <v>537</v>
      </c>
      <c r="D61" s="11" t="s">
        <v>104</v>
      </c>
      <c r="E61" s="12">
        <v>76.5</v>
      </c>
      <c r="F61" s="12">
        <v>9</v>
      </c>
    </row>
    <row r="62" spans="1:6" x14ac:dyDescent="0.25">
      <c r="A62" s="8">
        <v>61</v>
      </c>
      <c r="B62" s="9" t="s">
        <v>60</v>
      </c>
      <c r="C62" s="11">
        <v>429</v>
      </c>
      <c r="D62" s="11" t="s">
        <v>102</v>
      </c>
      <c r="E62" s="12">
        <v>58.71</v>
      </c>
      <c r="F62" s="12">
        <v>5.14</v>
      </c>
    </row>
    <row r="63" spans="1:6" x14ac:dyDescent="0.25">
      <c r="A63" s="8">
        <v>62</v>
      </c>
      <c r="B63" s="9" t="s">
        <v>61</v>
      </c>
      <c r="C63" s="11">
        <v>427</v>
      </c>
      <c r="D63" s="11" t="s">
        <v>102</v>
      </c>
      <c r="E63" s="12">
        <v>61.29</v>
      </c>
      <c r="F63" s="12">
        <v>6.29</v>
      </c>
    </row>
    <row r="64" spans="1:6" x14ac:dyDescent="0.25">
      <c r="A64" s="8">
        <v>63</v>
      </c>
      <c r="B64" s="9" t="s">
        <v>62</v>
      </c>
      <c r="C64" s="11">
        <v>453</v>
      </c>
      <c r="D64" s="11" t="s">
        <v>102</v>
      </c>
      <c r="E64" s="12">
        <v>59</v>
      </c>
      <c r="F64" s="12">
        <v>5.36</v>
      </c>
    </row>
    <row r="65" spans="1:9" x14ac:dyDescent="0.25">
      <c r="A65" s="8">
        <v>64</v>
      </c>
      <c r="B65" s="9" t="s">
        <v>63</v>
      </c>
      <c r="C65" s="11">
        <v>448</v>
      </c>
      <c r="D65" s="11" t="s">
        <v>102</v>
      </c>
      <c r="E65" s="12">
        <v>62.14</v>
      </c>
      <c r="F65" s="12">
        <v>5.86</v>
      </c>
    </row>
    <row r="66" spans="1:9" x14ac:dyDescent="0.25">
      <c r="A66" s="8">
        <v>65</v>
      </c>
      <c r="B66" s="9" t="s">
        <v>64</v>
      </c>
      <c r="C66" s="11">
        <v>587</v>
      </c>
      <c r="D66" s="11" t="s">
        <v>104</v>
      </c>
      <c r="E66" s="12">
        <v>81.5</v>
      </c>
      <c r="F66" s="12">
        <v>9.36</v>
      </c>
    </row>
    <row r="67" spans="1:9" x14ac:dyDescent="0.25">
      <c r="A67" s="8">
        <v>66</v>
      </c>
      <c r="B67" s="9" t="s">
        <v>65</v>
      </c>
      <c r="C67" s="11">
        <v>538</v>
      </c>
      <c r="D67" s="11" t="s">
        <v>104</v>
      </c>
      <c r="E67" s="12">
        <v>75.430000000000007</v>
      </c>
      <c r="F67" s="12">
        <v>8.93</v>
      </c>
    </row>
    <row r="68" spans="1:9" x14ac:dyDescent="0.25">
      <c r="A68" s="8">
        <v>67</v>
      </c>
      <c r="B68" s="9" t="s">
        <v>66</v>
      </c>
      <c r="C68" s="11">
        <v>404</v>
      </c>
      <c r="D68" s="11" t="s">
        <v>105</v>
      </c>
      <c r="E68" s="12">
        <v>53.21</v>
      </c>
      <c r="F68" s="12">
        <v>4.57</v>
      </c>
    </row>
    <row r="69" spans="1:9" x14ac:dyDescent="0.25">
      <c r="A69" s="8">
        <v>68</v>
      </c>
      <c r="B69" s="9" t="s">
        <v>67</v>
      </c>
      <c r="C69" s="11">
        <v>500</v>
      </c>
      <c r="D69" s="11" t="s">
        <v>102</v>
      </c>
      <c r="E69" s="12">
        <v>66.5</v>
      </c>
      <c r="F69" s="12">
        <v>6.43</v>
      </c>
    </row>
    <row r="70" spans="1:9" x14ac:dyDescent="0.25">
      <c r="A70" s="8">
        <v>69</v>
      </c>
      <c r="B70" s="9" t="s">
        <v>68</v>
      </c>
      <c r="C70" s="11">
        <v>573</v>
      </c>
      <c r="D70" s="11" t="s">
        <v>104</v>
      </c>
      <c r="E70" s="12">
        <v>79.790000000000006</v>
      </c>
      <c r="F70" s="12">
        <v>9.14</v>
      </c>
    </row>
    <row r="71" spans="1:9" x14ac:dyDescent="0.25">
      <c r="A71" s="8">
        <v>70</v>
      </c>
      <c r="B71" s="9" t="s">
        <v>69</v>
      </c>
      <c r="C71" s="11">
        <v>432</v>
      </c>
      <c r="D71" s="11" t="s">
        <v>102</v>
      </c>
      <c r="E71" s="12">
        <v>61.5</v>
      </c>
      <c r="F71" s="12">
        <v>6.57</v>
      </c>
    </row>
    <row r="72" spans="1:9" x14ac:dyDescent="0.25">
      <c r="A72" s="8">
        <v>71</v>
      </c>
      <c r="B72" s="9" t="s">
        <v>70</v>
      </c>
      <c r="C72" s="11">
        <v>494</v>
      </c>
      <c r="D72" s="11" t="s">
        <v>104</v>
      </c>
      <c r="E72" s="12">
        <v>69.209999999999994</v>
      </c>
      <c r="F72" s="12">
        <v>8.43</v>
      </c>
    </row>
    <row r="73" spans="1:9" s="6" customFormat="1" x14ac:dyDescent="0.25">
      <c r="A73" s="14">
        <v>72</v>
      </c>
      <c r="B73" s="15" t="s">
        <v>71</v>
      </c>
      <c r="C73" s="16">
        <v>306</v>
      </c>
      <c r="D73" s="16" t="s">
        <v>105</v>
      </c>
      <c r="E73" s="12">
        <v>57.5</v>
      </c>
      <c r="F73" s="12">
        <v>4.8600000000000003</v>
      </c>
      <c r="I73" s="7"/>
    </row>
    <row r="74" spans="1:9" x14ac:dyDescent="0.25">
      <c r="A74" s="8">
        <v>73</v>
      </c>
      <c r="B74" s="9" t="s">
        <v>72</v>
      </c>
      <c r="C74" s="11">
        <v>502</v>
      </c>
      <c r="D74" s="11" t="s">
        <v>102</v>
      </c>
      <c r="E74" s="12">
        <v>70.209999999999994</v>
      </c>
      <c r="F74" s="12">
        <v>8.07</v>
      </c>
    </row>
    <row r="75" spans="1:9" x14ac:dyDescent="0.25">
      <c r="A75" s="8">
        <v>74</v>
      </c>
      <c r="B75" s="9" t="s">
        <v>73</v>
      </c>
      <c r="C75" s="11">
        <v>449</v>
      </c>
      <c r="D75" s="11" t="s">
        <v>102</v>
      </c>
      <c r="E75" s="12">
        <v>63.5</v>
      </c>
      <c r="F75" s="12">
        <v>6.79</v>
      </c>
    </row>
    <row r="76" spans="1:9" x14ac:dyDescent="0.25">
      <c r="A76" s="8">
        <v>75</v>
      </c>
      <c r="B76" s="9" t="s">
        <v>74</v>
      </c>
      <c r="C76" s="11">
        <v>526</v>
      </c>
      <c r="D76" s="11" t="s">
        <v>104</v>
      </c>
      <c r="E76" s="12">
        <v>73</v>
      </c>
      <c r="F76" s="12">
        <v>8.57</v>
      </c>
    </row>
    <row r="77" spans="1:9" x14ac:dyDescent="0.25">
      <c r="A77" s="8">
        <v>76</v>
      </c>
      <c r="B77" s="9" t="s">
        <v>75</v>
      </c>
      <c r="C77" s="11">
        <v>467</v>
      </c>
      <c r="D77" s="11" t="s">
        <v>104</v>
      </c>
      <c r="E77" s="12">
        <v>65.5</v>
      </c>
      <c r="F77" s="12">
        <v>7.93</v>
      </c>
    </row>
    <row r="78" spans="1:9" x14ac:dyDescent="0.25">
      <c r="A78" s="8">
        <v>77</v>
      </c>
      <c r="B78" s="9" t="s">
        <v>76</v>
      </c>
      <c r="C78" s="11">
        <v>407</v>
      </c>
      <c r="D78" s="11" t="s">
        <v>105</v>
      </c>
      <c r="E78" s="12">
        <v>53.79</v>
      </c>
      <c r="F78" s="12">
        <v>4.79</v>
      </c>
    </row>
    <row r="79" spans="1:9" x14ac:dyDescent="0.25">
      <c r="A79" s="8">
        <v>78</v>
      </c>
      <c r="B79" s="9" t="s">
        <v>77</v>
      </c>
      <c r="C79" s="11">
        <v>527</v>
      </c>
      <c r="D79" s="11" t="s">
        <v>104</v>
      </c>
      <c r="E79" s="12">
        <v>75.5</v>
      </c>
      <c r="F79" s="12">
        <v>9</v>
      </c>
    </row>
    <row r="80" spans="1:9" x14ac:dyDescent="0.25">
      <c r="A80" s="8">
        <v>79</v>
      </c>
      <c r="B80" s="9" t="s">
        <v>78</v>
      </c>
      <c r="C80" s="11">
        <v>393</v>
      </c>
      <c r="D80" s="11" t="s">
        <v>105</v>
      </c>
      <c r="E80" s="12">
        <v>52.93</v>
      </c>
      <c r="F80" s="12">
        <v>4.29</v>
      </c>
    </row>
    <row r="81" spans="1:9" x14ac:dyDescent="0.25">
      <c r="A81" s="8">
        <v>80</v>
      </c>
      <c r="B81" s="9" t="s">
        <v>79</v>
      </c>
      <c r="C81" s="11">
        <v>542</v>
      </c>
      <c r="D81" s="11" t="s">
        <v>104</v>
      </c>
      <c r="E81" s="12">
        <v>76.930000000000007</v>
      </c>
      <c r="F81" s="12">
        <v>8.86</v>
      </c>
    </row>
    <row r="82" spans="1:9" x14ac:dyDescent="0.25">
      <c r="A82" s="8">
        <v>81</v>
      </c>
      <c r="B82" s="9" t="s">
        <v>80</v>
      </c>
      <c r="C82" s="11">
        <v>421</v>
      </c>
      <c r="D82" s="11" t="s">
        <v>105</v>
      </c>
      <c r="E82" s="12">
        <v>57.71</v>
      </c>
      <c r="F82" s="12">
        <v>4.93</v>
      </c>
    </row>
    <row r="83" spans="1:9" s="6" customFormat="1" x14ac:dyDescent="0.25">
      <c r="A83" s="14">
        <v>82</v>
      </c>
      <c r="B83" s="15" t="s">
        <v>81</v>
      </c>
      <c r="C83" s="16">
        <v>1400</v>
      </c>
      <c r="D83" s="11" t="s">
        <v>104</v>
      </c>
      <c r="E83" s="16">
        <v>66.790000000000006</v>
      </c>
      <c r="F83" s="16">
        <v>8.07</v>
      </c>
      <c r="I83" s="7"/>
    </row>
    <row r="84" spans="1:9" x14ac:dyDescent="0.25">
      <c r="A84" s="8">
        <v>83</v>
      </c>
      <c r="B84" s="9" t="s">
        <v>82</v>
      </c>
      <c r="C84" s="11">
        <v>412</v>
      </c>
      <c r="D84" s="11" t="s">
        <v>102</v>
      </c>
      <c r="E84" s="12">
        <v>55.29</v>
      </c>
      <c r="F84" s="12">
        <v>4.93</v>
      </c>
    </row>
    <row r="85" spans="1:9" x14ac:dyDescent="0.25">
      <c r="A85" s="8">
        <v>84</v>
      </c>
      <c r="B85" s="9" t="s">
        <v>83</v>
      </c>
      <c r="C85" s="11">
        <v>465</v>
      </c>
      <c r="D85" s="11" t="s">
        <v>102</v>
      </c>
      <c r="E85" s="12">
        <v>62.86</v>
      </c>
      <c r="F85" s="12">
        <v>6.14</v>
      </c>
    </row>
    <row r="86" spans="1:9" x14ac:dyDescent="0.25">
      <c r="A86" s="8">
        <v>85</v>
      </c>
      <c r="B86" s="9" t="s">
        <v>84</v>
      </c>
      <c r="C86" s="11">
        <v>413</v>
      </c>
      <c r="D86" s="11" t="s">
        <v>105</v>
      </c>
      <c r="E86" s="12">
        <v>54.14</v>
      </c>
      <c r="F86" s="12">
        <v>4.3600000000000003</v>
      </c>
    </row>
    <row r="87" spans="1:9" x14ac:dyDescent="0.25">
      <c r="A87" s="8">
        <v>86</v>
      </c>
      <c r="B87" s="9" t="s">
        <v>85</v>
      </c>
      <c r="C87" s="11">
        <v>575</v>
      </c>
      <c r="D87" s="11" t="s">
        <v>104</v>
      </c>
      <c r="E87" s="12">
        <v>80.209999999999994</v>
      </c>
      <c r="F87" s="12">
        <v>9.2100000000000009</v>
      </c>
    </row>
    <row r="88" spans="1:9" x14ac:dyDescent="0.25">
      <c r="A88" s="8">
        <v>87</v>
      </c>
      <c r="B88" s="9" t="s">
        <v>86</v>
      </c>
      <c r="C88" s="11">
        <v>382</v>
      </c>
      <c r="D88" s="11" t="s">
        <v>105</v>
      </c>
      <c r="E88" s="12">
        <v>51.29</v>
      </c>
      <c r="F88" s="12">
        <v>4.3600000000000003</v>
      </c>
    </row>
    <row r="89" spans="1:9" x14ac:dyDescent="0.25">
      <c r="A89" s="8">
        <v>88</v>
      </c>
      <c r="B89" s="9" t="s">
        <v>87</v>
      </c>
      <c r="C89" s="11">
        <v>459</v>
      </c>
      <c r="D89" s="11" t="s">
        <v>102</v>
      </c>
      <c r="E89" s="12">
        <v>64.430000000000007</v>
      </c>
      <c r="F89" s="12">
        <v>6.64</v>
      </c>
    </row>
    <row r="90" spans="1:9" x14ac:dyDescent="0.25">
      <c r="A90" s="8">
        <v>89</v>
      </c>
      <c r="B90" s="9" t="s">
        <v>88</v>
      </c>
      <c r="C90" s="11">
        <v>549</v>
      </c>
      <c r="D90" s="11" t="s">
        <v>104</v>
      </c>
      <c r="E90" s="12">
        <v>77.14</v>
      </c>
      <c r="F90" s="12">
        <v>9</v>
      </c>
    </row>
    <row r="91" spans="1:9" x14ac:dyDescent="0.25">
      <c r="A91" s="8">
        <v>90</v>
      </c>
      <c r="B91" s="9" t="s">
        <v>89</v>
      </c>
      <c r="C91" s="11">
        <v>536</v>
      </c>
      <c r="D91" s="11" t="s">
        <v>104</v>
      </c>
      <c r="E91" s="12">
        <v>72.5</v>
      </c>
      <c r="F91" s="12">
        <v>8.64</v>
      </c>
    </row>
    <row r="92" spans="1:9" x14ac:dyDescent="0.25">
      <c r="A92" s="8">
        <v>91</v>
      </c>
      <c r="B92" s="9" t="s">
        <v>90</v>
      </c>
      <c r="C92" s="11">
        <v>469</v>
      </c>
      <c r="D92" s="11" t="s">
        <v>102</v>
      </c>
      <c r="E92" s="12">
        <v>61.86</v>
      </c>
      <c r="F92" s="12">
        <v>6.93</v>
      </c>
    </row>
    <row r="93" spans="1:9" x14ac:dyDescent="0.25">
      <c r="A93" s="8">
        <v>92</v>
      </c>
      <c r="B93" s="9" t="s">
        <v>91</v>
      </c>
      <c r="C93" s="11">
        <v>418</v>
      </c>
      <c r="D93" s="11" t="s">
        <v>105</v>
      </c>
      <c r="E93" s="12">
        <v>55.57</v>
      </c>
      <c r="F93" s="12">
        <v>4.07</v>
      </c>
    </row>
    <row r="94" spans="1:9" x14ac:dyDescent="0.25">
      <c r="A94" s="8">
        <v>93</v>
      </c>
      <c r="B94" s="9" t="s">
        <v>92</v>
      </c>
      <c r="C94" s="11">
        <v>458</v>
      </c>
      <c r="D94" s="11" t="s">
        <v>104</v>
      </c>
      <c r="E94" s="12">
        <v>64.209999999999994</v>
      </c>
      <c r="F94" s="12">
        <v>7.64</v>
      </c>
    </row>
    <row r="95" spans="1:9" x14ac:dyDescent="0.25">
      <c r="A95" s="8">
        <v>93</v>
      </c>
      <c r="B95" s="9" t="s">
        <v>106</v>
      </c>
      <c r="C95" s="17">
        <v>290</v>
      </c>
      <c r="D95" s="17" t="s">
        <v>105</v>
      </c>
      <c r="E95" s="18">
        <v>46.07</v>
      </c>
      <c r="F95" s="18">
        <v>3.5</v>
      </c>
    </row>
    <row r="96" spans="1:9" x14ac:dyDescent="0.25">
      <c r="A96" s="8">
        <v>94</v>
      </c>
      <c r="B96" s="9" t="s">
        <v>93</v>
      </c>
      <c r="C96" s="11">
        <v>544</v>
      </c>
      <c r="D96" s="11" t="s">
        <v>104</v>
      </c>
      <c r="E96" s="12">
        <v>76</v>
      </c>
      <c r="F96" s="12">
        <v>8.7899999999999991</v>
      </c>
    </row>
    <row r="97" spans="1:6" x14ac:dyDescent="0.25">
      <c r="A97" s="8">
        <v>95</v>
      </c>
      <c r="B97" s="9" t="s">
        <v>94</v>
      </c>
      <c r="C97" s="11">
        <v>444</v>
      </c>
      <c r="D97" s="11" t="s">
        <v>102</v>
      </c>
      <c r="E97" s="12">
        <v>63.5</v>
      </c>
      <c r="F97" s="12">
        <v>6.79</v>
      </c>
    </row>
    <row r="98" spans="1:6" x14ac:dyDescent="0.25">
      <c r="A98" s="8">
        <v>96</v>
      </c>
      <c r="B98" s="19" t="s">
        <v>95</v>
      </c>
      <c r="C98" s="20">
        <v>471</v>
      </c>
      <c r="D98" s="20" t="s">
        <v>102</v>
      </c>
      <c r="E98" s="21">
        <v>71.42</v>
      </c>
      <c r="F98" s="21">
        <v>8.2100000000000009</v>
      </c>
    </row>
    <row r="100" spans="1:6" x14ac:dyDescent="0.25">
      <c r="A100" s="3"/>
      <c r="C100" s="2" t="s">
        <v>101</v>
      </c>
      <c r="D100" s="2">
        <f>COUNTIF(Table1[[#Data],[#Totals],[Result]],"Pass")</f>
        <v>43</v>
      </c>
    </row>
    <row r="101" spans="1:6" x14ac:dyDescent="0.25">
      <c r="C101" s="2" t="s">
        <v>102</v>
      </c>
      <c r="D101" s="2">
        <f>COUNTIF(Table1[[#Data],[#Totals],[Result]],"ATKT")</f>
        <v>41</v>
      </c>
    </row>
    <row r="102" spans="1:6" x14ac:dyDescent="0.25">
      <c r="C102" s="2" t="s">
        <v>103</v>
      </c>
      <c r="D102" s="2">
        <f>COUNTIF(Table1[[#Data],[#Totals],[Result]],"Fail")</f>
        <v>13</v>
      </c>
    </row>
    <row r="103" spans="1:6" x14ac:dyDescent="0.25">
      <c r="C103" s="2" t="s">
        <v>107</v>
      </c>
      <c r="D103" s="2">
        <f>SUM(D100:D102)</f>
        <v>97</v>
      </c>
      <c r="E103" s="6">
        <f>98-14</f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 x14ac:dyDescent="0.25"/>
  <sheetData>
    <row r="1" spans="1:1" ht="31.5" x14ac:dyDescent="0.25">
      <c r="A1" s="1" t="s">
        <v>81</v>
      </c>
    </row>
    <row r="2" spans="1:1" ht="42" x14ac:dyDescent="0.25">
      <c r="A2" s="1" t="s">
        <v>78</v>
      </c>
    </row>
    <row r="3" spans="1:1" ht="31.5" x14ac:dyDescent="0.25">
      <c r="A3" s="1" t="s">
        <v>71</v>
      </c>
    </row>
    <row r="4" spans="1:1" ht="42" x14ac:dyDescent="0.25">
      <c r="A4" s="1" t="s">
        <v>35</v>
      </c>
    </row>
    <row r="5" spans="1:1" ht="52.5" x14ac:dyDescent="0.25">
      <c r="A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MKCL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cvghn</dc:creator>
  <cp:lastModifiedBy>Admin</cp:lastModifiedBy>
  <dcterms:created xsi:type="dcterms:W3CDTF">2024-06-04T08:28:17Z</dcterms:created>
  <dcterms:modified xsi:type="dcterms:W3CDTF">2024-12-30T09:39:26Z</dcterms:modified>
</cp:coreProperties>
</file>